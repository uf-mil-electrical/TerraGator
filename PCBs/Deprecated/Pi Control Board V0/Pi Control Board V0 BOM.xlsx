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Downloads\"/>
    </mc:Choice>
  </mc:AlternateContent>
  <xr:revisionPtr revIDLastSave="0" documentId="13_ncr:1_{218D69BE-E523-4D69-92BB-651C0AB5EE95}" xr6:coauthVersionLast="47" xr6:coauthVersionMax="47" xr10:uidLastSave="{00000000-0000-0000-0000-000000000000}"/>
  <bookViews>
    <workbookView xWindow="-110" yWindow="-110" windowWidth="19420" windowHeight="11500" xr2:uid="{5FFD6256-F014-4BD6-B985-C72FD4781472}"/>
  </bookViews>
  <sheets>
    <sheet name="Pi Control Board V0 BOM" sheetId="1" r:id="rId1"/>
  </sheets>
  <definedNames>
    <definedName name="_xlnm.Print_Titles" localSheetId="0">'Pi Control Board V0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2" i="1"/>
</calcChain>
</file>

<file path=xl/sharedStrings.xml><?xml version="1.0" encoding="utf-8"?>
<sst xmlns="http://schemas.openxmlformats.org/spreadsheetml/2006/main" count="715" uniqueCount="336">
  <si>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</si>
  <si>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</si>
  <si>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</si>
  <si>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</si>
  <si>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</si>
  <si>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</si>
  <si>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</si>
  <si>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</si>
  <si>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</si>
  <si>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</si>
  <si>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Subtotal 1</t>
  </si>
  <si>
    <t>Supplier Unit Price 1</t>
  </si>
  <si>
    <t/>
  </si>
  <si>
    <t>RP-SMA 50-Ohm</t>
  </si>
  <si>
    <t>PCB.RPSMAFRA.HT</t>
  </si>
  <si>
    <t>A1, A2</t>
  </si>
  <si>
    <t>Taoglas</t>
  </si>
  <si>
    <t>Unknown</t>
  </si>
  <si>
    <t>DigiKey</t>
  </si>
  <si>
    <t>931-1360-ND</t>
  </si>
  <si>
    <t>SMD Nonpolarized</t>
  </si>
  <si>
    <t>C1, C2</t>
  </si>
  <si>
    <t>Cal-Chip Electronics</t>
  </si>
  <si>
    <t>CHV0603N2501R2BCT</t>
  </si>
  <si>
    <t>4713-CHV0603N2501R2BCT-ND</t>
  </si>
  <si>
    <t>C3, C4</t>
  </si>
  <si>
    <t>Yageo Group</t>
  </si>
  <si>
    <t>CC0603DRNPO9BN6R0</t>
  </si>
  <si>
    <t>Volume Production</t>
  </si>
  <si>
    <t>311-1055-1-ND</t>
  </si>
  <si>
    <t>C5, C6</t>
  </si>
  <si>
    <t>CC0603FRNPO9BN150</t>
  </si>
  <si>
    <t>311-3887-1-ND</t>
  </si>
  <si>
    <t>C7</t>
  </si>
  <si>
    <t>CC0603CPNPO9BN4R7</t>
  </si>
  <si>
    <t>13-CC0603CPNPO9BN4R7CT-ND</t>
  </si>
  <si>
    <t>C8</t>
  </si>
  <si>
    <t>Murata</t>
  </si>
  <si>
    <t>GRM1885C1H222JA01D</t>
  </si>
  <si>
    <t>490-1459-1-ND</t>
  </si>
  <si>
    <t>C9</t>
  </si>
  <si>
    <t>CC0603CRNPO9BN1R0</t>
  </si>
  <si>
    <t>311-1049-1-ND</t>
  </si>
  <si>
    <t>C10</t>
  </si>
  <si>
    <t>CC0603BRNPO9BN1R5</t>
  </si>
  <si>
    <t>311-1737-1-ND</t>
  </si>
  <si>
    <t>C11</t>
  </si>
  <si>
    <t>Johanson</t>
  </si>
  <si>
    <t>QSCP251Q0R3A1GV001T</t>
  </si>
  <si>
    <t>712-QSCP251Q0R3A1GV001TCT-ND</t>
  </si>
  <si>
    <t>C12</t>
  </si>
  <si>
    <t>GRM1885C1H102JA01D</t>
  </si>
  <si>
    <t>490-1451-6-ND</t>
  </si>
  <si>
    <t>C13</t>
  </si>
  <si>
    <t>KEMET</t>
  </si>
  <si>
    <t>C0603C103J5RACTU</t>
  </si>
  <si>
    <t>399-C0603C103J5RACTUDKR-ND</t>
  </si>
  <si>
    <t>C14</t>
  </si>
  <si>
    <t>CC0603JRX7R7BB105</t>
  </si>
  <si>
    <t>311-3485-1-ND</t>
  </si>
  <si>
    <t>C15</t>
  </si>
  <si>
    <t>C0603C221J5GAC7411</t>
  </si>
  <si>
    <t>399-C0603C221J5GAC7411CT-ND</t>
  </si>
  <si>
    <t>C16</t>
  </si>
  <si>
    <t>CC0603JRX7R9BB333</t>
  </si>
  <si>
    <t>311-4015-1-ND</t>
  </si>
  <si>
    <t>[Cap] SMD Nonpolarized</t>
  </si>
  <si>
    <t>C17, C18</t>
  </si>
  <si>
    <t>GCM1885C2A150FA16D</t>
  </si>
  <si>
    <t>490-16416-1-ND</t>
  </si>
  <si>
    <t>C19, C20, C21, C22, C23, C24, C25, C26, C27, C28, C29, C35, C39, C40, C42, C43, C44, C45, C46, C47, C48, C50, C53, C54, C55, C57, C58, C59, C60, C61, C64, C65, C66, C68, C69</t>
  </si>
  <si>
    <t>CC0603KRX7R7BB104</t>
  </si>
  <si>
    <t>311-1088-6-ND</t>
  </si>
  <si>
    <t>C30, C31</t>
  </si>
  <si>
    <t>KYOCERA AVX</t>
  </si>
  <si>
    <t>600S1R8BT250XT4K</t>
  </si>
  <si>
    <t>478-600S1R8BT250XT4KCT-ND</t>
  </si>
  <si>
    <t>C32, C34, C36, C38, C41</t>
  </si>
  <si>
    <t>Samsung Electro-Mechanics</t>
  </si>
  <si>
    <t>CL10B105MO8NNWC</t>
  </si>
  <si>
    <t>1276-6524-1-ND</t>
  </si>
  <si>
    <t>C33</t>
  </si>
  <si>
    <t>Taiyo Yuden</t>
  </si>
  <si>
    <t>LMK107BBJ106MALT</t>
  </si>
  <si>
    <t>587-3258-1-ND</t>
  </si>
  <si>
    <t>C37</t>
  </si>
  <si>
    <t>GRM1885C1H101JA01D</t>
  </si>
  <si>
    <t>Not Recommended for New Design</t>
  </si>
  <si>
    <t>490-1427-1-ND</t>
  </si>
  <si>
    <t>C49, C51, C52, C56</t>
  </si>
  <si>
    <t>GRM188R61E475KE11D</t>
  </si>
  <si>
    <t>490-7203-1-ND</t>
  </si>
  <si>
    <t>SMD Polarized</t>
  </si>
  <si>
    <t>C62</t>
  </si>
  <si>
    <t>Panasonic</t>
  </si>
  <si>
    <t>EEE-FK1A681P</t>
  </si>
  <si>
    <t>PCE3781CT-ND</t>
  </si>
  <si>
    <t>C63</t>
  </si>
  <si>
    <t>Nichicon</t>
  </si>
  <si>
    <t>UCM0J221MCL1GS</t>
  </si>
  <si>
    <t>493-17593-1-ND</t>
  </si>
  <si>
    <t>C67, C70</t>
  </si>
  <si>
    <t>GCM1885C2A240JA16D</t>
  </si>
  <si>
    <t>490-GCM1885C2A240JA16DCT-ND</t>
  </si>
  <si>
    <t>SMD LED</t>
  </si>
  <si>
    <t>Generic</t>
  </si>
  <si>
    <t>D1</t>
  </si>
  <si>
    <t>Osram Opto</t>
  </si>
  <si>
    <t>LG R971-KN-1-0-20-R18</t>
  </si>
  <si>
    <t>475-LGR971-KN-1CT-ND</t>
  </si>
  <si>
    <t>D2</t>
  </si>
  <si>
    <t>Osram</t>
  </si>
  <si>
    <t>LY R976-PS-36-0-20-R18</t>
  </si>
  <si>
    <t>475-LYR976-PS-36-0-20-R18CT-ND</t>
  </si>
  <si>
    <t>D3</t>
  </si>
  <si>
    <t>LS R976-NR-1-0-20-R18</t>
  </si>
  <si>
    <t>475-LSR976-NR-1CT-ND</t>
  </si>
  <si>
    <t>D4, D5</t>
  </si>
  <si>
    <t>Wurth Elektronik</t>
  </si>
  <si>
    <t>150080BS75000</t>
  </si>
  <si>
    <t>732-4982-1-ND</t>
  </si>
  <si>
    <t>D6, D7</t>
  </si>
  <si>
    <t>Harvatek</t>
  </si>
  <si>
    <t>B1701UY--20D000214U1930</t>
  </si>
  <si>
    <t>3147-B1701UY--20D000214U1930CT-ND</t>
  </si>
  <si>
    <t>Schottky</t>
  </si>
  <si>
    <t>D8</t>
  </si>
  <si>
    <t>Diodes Inc.</t>
  </si>
  <si>
    <t>B530C-13-F</t>
  </si>
  <si>
    <t>B530C-FDICT-ND</t>
  </si>
  <si>
    <t>Right-Angle</t>
  </si>
  <si>
    <t>F1</t>
  </si>
  <si>
    <t>Keystone</t>
  </si>
  <si>
    <t>3549-2</t>
  </si>
  <si>
    <t>36-3549-2-ND</t>
  </si>
  <si>
    <t>[PTC] 500mA Trip</t>
  </si>
  <si>
    <t>MF-MSMF050-2</t>
  </si>
  <si>
    <t>F2</t>
  </si>
  <si>
    <t>Bourns</t>
  </si>
  <si>
    <t>MF-MSMF050-2DKR-ND</t>
  </si>
  <si>
    <t>[Header] Shrouded 2x5 SMD</t>
  </si>
  <si>
    <t>H1, H2, H3</t>
  </si>
  <si>
    <t>Molex</t>
  </si>
  <si>
    <t>87832-1010</t>
  </si>
  <si>
    <t>WM4227-ND</t>
  </si>
  <si>
    <t>1x3 Male</t>
  </si>
  <si>
    <t>070543-0037_x000D_
Mates with 005057-9403</t>
  </si>
  <si>
    <t>H4, H5, H7, H8, H9</t>
  </si>
  <si>
    <t>70543-0037</t>
  </si>
  <si>
    <t>WM4825-ND</t>
  </si>
  <si>
    <t>[Header] Shrouded 1x6 Male</t>
  </si>
  <si>
    <t>0705430005_x000D_
Mates with 0050579406</t>
  </si>
  <si>
    <t>H6</t>
  </si>
  <si>
    <t>70543-0005</t>
  </si>
  <si>
    <t>WM4804-ND</t>
  </si>
  <si>
    <t>1x2 Male</t>
  </si>
  <si>
    <t>0705430036_x000D_
Mates with 0050579402</t>
  </si>
  <si>
    <t>H10</t>
  </si>
  <si>
    <t>70543-0036</t>
  </si>
  <si>
    <t>WM4824-ND</t>
  </si>
  <si>
    <t>SMD Inductor</t>
  </si>
  <si>
    <t>L1</t>
  </si>
  <si>
    <t>7447860027G</t>
  </si>
  <si>
    <t>732-7447860027GCT-ND</t>
  </si>
  <si>
    <t>L2</t>
  </si>
  <si>
    <t>LQG18HN2N7S00D</t>
  </si>
  <si>
    <t>490-1103-1-ND</t>
  </si>
  <si>
    <t>L3</t>
  </si>
  <si>
    <t>LQG18HN3N9S00D</t>
  </si>
  <si>
    <t>490-1105-1-ND</t>
  </si>
  <si>
    <t>L4</t>
  </si>
  <si>
    <t>LQG18HN8N2J00D</t>
  </si>
  <si>
    <t>490-1109-1-ND</t>
  </si>
  <si>
    <t>2.4GHz Low-Pass RF Filter</t>
  </si>
  <si>
    <t>MLPF-NRG-01D3</t>
  </si>
  <si>
    <t>L5</t>
  </si>
  <si>
    <t>STMicroelectronics</t>
  </si>
  <si>
    <t>497-MLPF-NRG-01D3CT-ND</t>
  </si>
  <si>
    <t>L6</t>
  </si>
  <si>
    <t>LQW18AS2N0J00D</t>
  </si>
  <si>
    <t>490-LQW18AS2N0J00DCT-ND</t>
  </si>
  <si>
    <t>L7</t>
  </si>
  <si>
    <t>TDK</t>
  </si>
  <si>
    <t>MLZ1608N100LT000</t>
  </si>
  <si>
    <t>445-6755-1-ND</t>
  </si>
  <si>
    <t>742792040</t>
  </si>
  <si>
    <t>L8</t>
  </si>
  <si>
    <t>732-1620-1-ND</t>
  </si>
  <si>
    <t>L9</t>
  </si>
  <si>
    <t>MLZ2012M330WT000</t>
  </si>
  <si>
    <t>445-6399-1-ND</t>
  </si>
  <si>
    <t>[XOSC] SMD 12MHz</t>
  </si>
  <si>
    <t>O1</t>
  </si>
  <si>
    <t>CSTNE12M0GH5L000R0</t>
  </si>
  <si>
    <t>490-17947-1-ND</t>
  </si>
  <si>
    <t>PMV48XP</t>
  </si>
  <si>
    <t>Q1</t>
  </si>
  <si>
    <t>Nexperia</t>
  </si>
  <si>
    <t>PMV48XPA2R</t>
  </si>
  <si>
    <t>1727-PMV48XPA2RCT-ND</t>
  </si>
  <si>
    <t>[Res] SMD Resistor</t>
  </si>
  <si>
    <t>R1, R6, R49</t>
  </si>
  <si>
    <t>RT0603BRD071ML</t>
  </si>
  <si>
    <t>YAG4498CT-ND</t>
  </si>
  <si>
    <t>R2, R3, R8, R10, R15, R16, R17, R18, R19, R20, R21, R22, R37, R39</t>
  </si>
  <si>
    <t>Vishay</t>
  </si>
  <si>
    <t>MCT06030C2709FP500</t>
  </si>
  <si>
    <t>749-1631-1-ND</t>
  </si>
  <si>
    <t>R4, R5, R40, R46, R47</t>
  </si>
  <si>
    <t>RC0603FR-0710KL</t>
  </si>
  <si>
    <t>311-10.0KHRDKR-ND</t>
  </si>
  <si>
    <t>R7</t>
  </si>
  <si>
    <t>RC0603FR-0722RL</t>
  </si>
  <si>
    <t>311-22.0HRDKR-ND</t>
  </si>
  <si>
    <t>R9, R11, R12, R26, R27, R28, R29, R30, R31, R32</t>
  </si>
  <si>
    <t>Stackpole Electronics</t>
  </si>
  <si>
    <t>RMCF0603FT1K00</t>
  </si>
  <si>
    <t>RMCF0603FT1K00DKR-ND</t>
  </si>
  <si>
    <t>R13, R14, R34, R35</t>
  </si>
  <si>
    <t>ERA3ARB202V</t>
  </si>
  <si>
    <t>P2.0KBDCT-ND</t>
  </si>
  <si>
    <t>R23, R25</t>
  </si>
  <si>
    <t>311-10.0KHRCT-ND</t>
  </si>
  <si>
    <t>R24, R33, R38, R41, R42, R43, R44, R45, R48, R50, R52, R53</t>
  </si>
  <si>
    <t>TE Connectivity</t>
  </si>
  <si>
    <t>CRGCQ0603F56K</t>
  </si>
  <si>
    <t>A129709CT-ND</t>
  </si>
  <si>
    <t>R36</t>
  </si>
  <si>
    <t>Susumu</t>
  </si>
  <si>
    <t>RR0816Q-330-D</t>
  </si>
  <si>
    <t>RR08Q33DCT-ND</t>
  </si>
  <si>
    <t>R51</t>
  </si>
  <si>
    <t>RC0603FR-074K7L</t>
  </si>
  <si>
    <t>311-4.70KHRDKR-ND</t>
  </si>
  <si>
    <t>RFDX900</t>
  </si>
  <si>
    <t>RFDX900 Long-Range RF Module</t>
  </si>
  <si>
    <t>Radio1</t>
  </si>
  <si>
    <t>Amphenol Communications Solutions</t>
  </si>
  <si>
    <t>71609-308LF</t>
  </si>
  <si>
    <t>609-71609-308LF-ND</t>
  </si>
  <si>
    <t>[Switch] Pushbutton SMD</t>
  </si>
  <si>
    <t>S1, S2</t>
  </si>
  <si>
    <t>Omron</t>
  </si>
  <si>
    <t>B3U-1100P</t>
  </si>
  <si>
    <t>SW1021CT-ND</t>
  </si>
  <si>
    <t>SPDT</t>
  </si>
  <si>
    <t>S3</t>
  </si>
  <si>
    <t>EAO Switch</t>
  </si>
  <si>
    <t>09.03290.01</t>
  </si>
  <si>
    <t>1948-1087-ND</t>
  </si>
  <si>
    <t>ESP32-S2FN4R2</t>
  </si>
  <si>
    <t>U1</t>
  </si>
  <si>
    <t>Espressif Systems</t>
  </si>
  <si>
    <t>1965-ESP32-S2FN4R2CT-ND</t>
  </si>
  <si>
    <t>NRF24L01P</t>
  </si>
  <si>
    <t>NRF24L01P-R</t>
  </si>
  <si>
    <t>U2</t>
  </si>
  <si>
    <t>Nordic Semiconductor</t>
  </si>
  <si>
    <t>4823-NRF24L01P-RCT-ND</t>
  </si>
  <si>
    <t>RFX2401C</t>
  </si>
  <si>
    <t>U3</t>
  </si>
  <si>
    <t>Skyworks Solutions</t>
  </si>
  <si>
    <t>863-1828-1-ND</t>
  </si>
  <si>
    <t>RP2350B</t>
  </si>
  <si>
    <t>QFN-80 Package</t>
  </si>
  <si>
    <t>U4</t>
  </si>
  <si>
    <t>Raspberry Pi</t>
  </si>
  <si>
    <t>SC1510-A4</t>
  </si>
  <si>
    <t>2648-SC1510-A4CT-ND</t>
  </si>
  <si>
    <t>[IC] USB Hub Power Distribution</t>
  </si>
  <si>
    <t>U5</t>
  </si>
  <si>
    <t>Texas Instruments</t>
  </si>
  <si>
    <t>TPS2044BDR</t>
  </si>
  <si>
    <t>296-26909-1-ND</t>
  </si>
  <si>
    <t>W25Q128JVS</t>
  </si>
  <si>
    <t>W25Q128JVSIQ TR</t>
  </si>
  <si>
    <t>U6, U9</t>
  </si>
  <si>
    <t>Winbond</t>
  </si>
  <si>
    <t>256-W25Q128JVSIQTRCT-ND</t>
  </si>
  <si>
    <t>TUSB2046</t>
  </si>
  <si>
    <t>TUSB2046BVFR</t>
  </si>
  <si>
    <t>U7</t>
  </si>
  <si>
    <t>296-27131-1-ND</t>
  </si>
  <si>
    <t>[IC] Level Shifter (2)</t>
  </si>
  <si>
    <t>TXS0108EQPWRQ1</t>
  </si>
  <si>
    <t>U8</t>
  </si>
  <si>
    <t>296-42401-1-ND</t>
  </si>
  <si>
    <t>USB-UART Bridge</t>
  </si>
  <si>
    <t>MCP2200T-I/SO</t>
  </si>
  <si>
    <t>U10</t>
  </si>
  <si>
    <t>Microchip</t>
  </si>
  <si>
    <t>MCP2200T-I/SOCT-ND</t>
  </si>
  <si>
    <t>3.3V 3A</t>
  </si>
  <si>
    <t>3A</t>
  </si>
  <si>
    <t>U11</t>
  </si>
  <si>
    <t>LM2596SX-3.3/NOPB</t>
  </si>
  <si>
    <t>LM2596SX-3.3/NOPBCT-ND</t>
  </si>
  <si>
    <t>Comparator</t>
  </si>
  <si>
    <t>LMV358IDGKR</t>
  </si>
  <si>
    <t>U12</t>
  </si>
  <si>
    <t>296-13455-1-ND</t>
  </si>
  <si>
    <t>USB-C</t>
  </si>
  <si>
    <t>X1, X2</t>
  </si>
  <si>
    <t>JAE Electronics</t>
  </si>
  <si>
    <t>DX07S024JA1R1300</t>
  </si>
  <si>
    <t>670-3104-1-ND</t>
  </si>
  <si>
    <t>USB-C Vertical</t>
  </si>
  <si>
    <t>X3, X4, X5, X7</t>
  </si>
  <si>
    <t>Phoenix Contact</t>
  </si>
  <si>
    <t>1332646</t>
  </si>
  <si>
    <t>277-1332646CT-ND</t>
  </si>
  <si>
    <t>2pin Screw Terminal</t>
  </si>
  <si>
    <t>X6</t>
  </si>
  <si>
    <t>Same Sky</t>
  </si>
  <si>
    <t>TB002-500-02BE</t>
  </si>
  <si>
    <t>102-6145-ND</t>
  </si>
  <si>
    <t>40MHz Crystal</t>
  </si>
  <si>
    <t>CX2016DB40000D0FLJCC</t>
  </si>
  <si>
    <t>Y1</t>
  </si>
  <si>
    <t>478-CX2016DB40000D0FLJCCDKR-ND</t>
  </si>
  <si>
    <t>16 MHz</t>
  </si>
  <si>
    <t>ABM11-16.000MHZ-12-N1G-T</t>
  </si>
  <si>
    <t>Y2</t>
  </si>
  <si>
    <t>Abracon</t>
  </si>
  <si>
    <t>535-14950-1-ND</t>
  </si>
  <si>
    <t>12MHz</t>
  </si>
  <si>
    <t>815-ABM8-272-T3</t>
  </si>
  <si>
    <t>Y3</t>
  </si>
  <si>
    <t>ABM8-272-T3</t>
  </si>
  <si>
    <t>535-ABM8-272-T3CT-ND</t>
  </si>
  <si>
    <t>[XTAL] SMD 6MHz</t>
  </si>
  <si>
    <t>ECS-060-18-20BM-JEN-TR</t>
  </si>
  <si>
    <t>Y4</t>
  </si>
  <si>
    <t>ECS International</t>
  </si>
  <si>
    <t>XC2349CT-ND</t>
  </si>
  <si>
    <t>Customer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</si>
</sst>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DCD2-7213-427E-82BD-F0D2A75AFBF0}">
  <dimension ref="A1:M79"/>
  <sheetViews>
    <sheetView tabSelected="1" topLeftCell="B2" zoomScale="63" workbookViewId="0">
      <selection activeCell="E77" sqref="E77"/>
    </sheetView>
  </sheetViews>
  <sheetFormatPr defaultRowHeight="14.5" x14ac:dyDescent="0.35"/>
  <cols>
    <col min="1" max="1" width="8.81640625" customWidth="1"/>
    <col min="2" max="2" width="33.36328125" customWidth="1"/>
    <col min="3" max="3" width="13.08984375" customWidth="1"/>
    <col min="4" max="4" width="18.453125" customWidth="1"/>
    <col min="5" max="5" width="16.54296875" customWidth="1"/>
    <col min="6" max="6" width="10.6328125" customWidth="1"/>
    <col min="7" max="7" width="21.26953125" customWidth="1"/>
    <col min="8" max="8" width="25.08984375" customWidth="1"/>
    <col min="9" max="9" width="23.54296875" customWidth="1"/>
    <col min="10" max="10" width="12.453125" customWidth="1"/>
    <col min="11" max="11" width="27.36328125" customWidth="1"/>
    <col min="12" max="12" width="12.7265625" customWidth="1"/>
    <col min="13" max="13" width="26.08984375" customWidth="1"/>
  </cols>
  <sheetData>
    <row r="1" spans="1:13" s="5" customFormat="1" x14ac:dyDescent="0.35">
      <c r="A1" s="4" t="s">
        <v>0</v>
      </c>
      <c r="B1" s="4" t="s">
        <v>1</v>
      </c>
      <c r="C1" s="4" t="s">
        <v>2</v>
      </c>
      <c r="D1" s="4" t="s">
        <v>335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35">
      <c r="A2" s="2" t="s">
        <v>12</v>
      </c>
      <c r="B2" s="2" t="s">
        <v>13</v>
      </c>
      <c r="C2" s="2" t="s">
        <v>14</v>
      </c>
      <c r="D2" s="2" t="str">
        <f>"Pi Control V0 [" &amp; E2 &amp; "]"</f>
        <v>Pi Control V0 [A1, A2]</v>
      </c>
      <c r="E2" s="2" t="s">
        <v>15</v>
      </c>
      <c r="F2" s="1">
        <v>2</v>
      </c>
      <c r="G2" s="2" t="s">
        <v>16</v>
      </c>
      <c r="H2" s="2" t="s">
        <v>14</v>
      </c>
      <c r="I2" s="2" t="s">
        <v>17</v>
      </c>
      <c r="J2" s="2" t="s">
        <v>18</v>
      </c>
      <c r="K2" s="2" t="s">
        <v>19</v>
      </c>
      <c r="L2" s="1">
        <v>7.18</v>
      </c>
      <c r="M2" s="1">
        <v>3.59</v>
      </c>
    </row>
    <row r="3" spans="1:13" x14ac:dyDescent="0.35">
      <c r="A3" s="2" t="s">
        <v>12</v>
      </c>
      <c r="B3" s="2" t="s">
        <v>20</v>
      </c>
      <c r="C3" s="2" t="s">
        <v>12</v>
      </c>
      <c r="D3" s="2" t="str">
        <f t="shared" ref="D3:D66" si="0">"Pi Control V0 [" &amp; E3 &amp; "]"</f>
        <v>Pi Control V0 [C1, C2]</v>
      </c>
      <c r="E3" s="2" t="s">
        <v>21</v>
      </c>
      <c r="F3" s="1">
        <v>2</v>
      </c>
      <c r="G3" s="2" t="s">
        <v>22</v>
      </c>
      <c r="H3" s="2" t="s">
        <v>23</v>
      </c>
      <c r="I3" s="2" t="s">
        <v>17</v>
      </c>
      <c r="J3" s="2" t="s">
        <v>18</v>
      </c>
      <c r="K3" s="2" t="s">
        <v>24</v>
      </c>
      <c r="L3" s="1">
        <v>0.44</v>
      </c>
      <c r="M3" s="1">
        <v>0.22</v>
      </c>
    </row>
    <row r="4" spans="1:13" x14ac:dyDescent="0.35">
      <c r="A4" s="2" t="s">
        <v>12</v>
      </c>
      <c r="B4" s="2" t="s">
        <v>20</v>
      </c>
      <c r="C4" s="2" t="s">
        <v>12</v>
      </c>
      <c r="D4" s="2" t="str">
        <f t="shared" si="0"/>
        <v>Pi Control V0 [C3, C4]</v>
      </c>
      <c r="E4" s="2" t="s">
        <v>25</v>
      </c>
      <c r="F4" s="1">
        <v>2</v>
      </c>
      <c r="G4" s="2" t="s">
        <v>26</v>
      </c>
      <c r="H4" s="2" t="s">
        <v>27</v>
      </c>
      <c r="I4" s="2" t="s">
        <v>28</v>
      </c>
      <c r="J4" s="2" t="s">
        <v>18</v>
      </c>
      <c r="K4" s="2" t="s">
        <v>29</v>
      </c>
      <c r="L4" s="1">
        <v>0.2</v>
      </c>
      <c r="M4" s="1">
        <v>0.1</v>
      </c>
    </row>
    <row r="5" spans="1:13" x14ac:dyDescent="0.35">
      <c r="A5" s="2" t="s">
        <v>12</v>
      </c>
      <c r="B5" s="2" t="s">
        <v>20</v>
      </c>
      <c r="C5" s="2" t="s">
        <v>12</v>
      </c>
      <c r="D5" s="2" t="str">
        <f t="shared" si="0"/>
        <v>Pi Control V0 [C5, C6]</v>
      </c>
      <c r="E5" s="2" t="s">
        <v>30</v>
      </c>
      <c r="F5" s="1">
        <v>2</v>
      </c>
      <c r="G5" s="2" t="s">
        <v>26</v>
      </c>
      <c r="H5" s="2" t="s">
        <v>31</v>
      </c>
      <c r="I5" s="2" t="s">
        <v>28</v>
      </c>
      <c r="J5" s="2" t="s">
        <v>18</v>
      </c>
      <c r="K5" s="2" t="s">
        <v>32</v>
      </c>
      <c r="L5" s="1">
        <v>0.28000000000000003</v>
      </c>
      <c r="M5" s="1">
        <v>0.14000000000000001</v>
      </c>
    </row>
    <row r="6" spans="1:13" x14ac:dyDescent="0.35">
      <c r="A6" s="2" t="s">
        <v>12</v>
      </c>
      <c r="B6" s="2" t="s">
        <v>20</v>
      </c>
      <c r="C6" s="2" t="s">
        <v>12</v>
      </c>
      <c r="D6" s="2" t="str">
        <f t="shared" si="0"/>
        <v>Pi Control V0 [C7]</v>
      </c>
      <c r="E6" s="2" t="s">
        <v>33</v>
      </c>
      <c r="F6" s="1">
        <v>1</v>
      </c>
      <c r="G6" s="2" t="s">
        <v>26</v>
      </c>
      <c r="H6" s="2" t="s">
        <v>34</v>
      </c>
      <c r="I6" s="2" t="s">
        <v>28</v>
      </c>
      <c r="J6" s="2" t="s">
        <v>18</v>
      </c>
      <c r="K6" s="2" t="s">
        <v>35</v>
      </c>
      <c r="L6" s="1">
        <v>0.1</v>
      </c>
      <c r="M6" s="1">
        <v>0.1</v>
      </c>
    </row>
    <row r="7" spans="1:13" x14ac:dyDescent="0.35">
      <c r="A7" s="2" t="s">
        <v>12</v>
      </c>
      <c r="B7" s="2" t="s">
        <v>20</v>
      </c>
      <c r="C7" s="2" t="s">
        <v>12</v>
      </c>
      <c r="D7" s="2" t="str">
        <f t="shared" si="0"/>
        <v>Pi Control V0 [C8]</v>
      </c>
      <c r="E7" s="2" t="s">
        <v>36</v>
      </c>
      <c r="F7" s="1">
        <v>1</v>
      </c>
      <c r="G7" s="2" t="s">
        <v>37</v>
      </c>
      <c r="H7" s="2" t="s">
        <v>38</v>
      </c>
      <c r="I7" s="2" t="s">
        <v>28</v>
      </c>
      <c r="J7" s="2" t="s">
        <v>18</v>
      </c>
      <c r="K7" s="2" t="s">
        <v>39</v>
      </c>
      <c r="L7" s="1">
        <v>0.1</v>
      </c>
      <c r="M7" s="1">
        <v>0.1</v>
      </c>
    </row>
    <row r="8" spans="1:13" x14ac:dyDescent="0.35">
      <c r="A8" s="2" t="s">
        <v>12</v>
      </c>
      <c r="B8" s="2" t="s">
        <v>20</v>
      </c>
      <c r="C8" s="2" t="s">
        <v>12</v>
      </c>
      <c r="D8" s="2" t="str">
        <f t="shared" si="0"/>
        <v>Pi Control V0 [C9]</v>
      </c>
      <c r="E8" s="2" t="s">
        <v>40</v>
      </c>
      <c r="F8" s="1">
        <v>1</v>
      </c>
      <c r="G8" s="2" t="s">
        <v>26</v>
      </c>
      <c r="H8" s="2" t="s">
        <v>41</v>
      </c>
      <c r="I8" s="2" t="s">
        <v>28</v>
      </c>
      <c r="J8" s="2" t="s">
        <v>18</v>
      </c>
      <c r="K8" s="2" t="s">
        <v>42</v>
      </c>
      <c r="L8" s="1">
        <v>0.1</v>
      </c>
      <c r="M8" s="1">
        <v>0.1</v>
      </c>
    </row>
    <row r="9" spans="1:13" x14ac:dyDescent="0.35">
      <c r="A9" s="2" t="s">
        <v>12</v>
      </c>
      <c r="B9" s="2" t="s">
        <v>20</v>
      </c>
      <c r="C9" s="2" t="s">
        <v>12</v>
      </c>
      <c r="D9" s="2" t="str">
        <f t="shared" si="0"/>
        <v>Pi Control V0 [C10]</v>
      </c>
      <c r="E9" s="2" t="s">
        <v>43</v>
      </c>
      <c r="F9" s="1">
        <v>1</v>
      </c>
      <c r="G9" s="2" t="s">
        <v>26</v>
      </c>
      <c r="H9" s="2" t="s">
        <v>44</v>
      </c>
      <c r="I9" s="2" t="s">
        <v>28</v>
      </c>
      <c r="J9" s="2" t="s">
        <v>18</v>
      </c>
      <c r="K9" s="2" t="s">
        <v>45</v>
      </c>
      <c r="L9" s="1">
        <v>0.1</v>
      </c>
      <c r="M9" s="1">
        <v>0.1</v>
      </c>
    </row>
    <row r="10" spans="1:13" x14ac:dyDescent="0.35">
      <c r="A10" s="2" t="s">
        <v>12</v>
      </c>
      <c r="B10" s="2" t="s">
        <v>20</v>
      </c>
      <c r="C10" s="2" t="s">
        <v>12</v>
      </c>
      <c r="D10" s="2" t="str">
        <f t="shared" si="0"/>
        <v>Pi Control V0 [C11]</v>
      </c>
      <c r="E10" s="2" t="s">
        <v>46</v>
      </c>
      <c r="F10" s="1">
        <v>1</v>
      </c>
      <c r="G10" s="2" t="s">
        <v>47</v>
      </c>
      <c r="H10" s="2" t="s">
        <v>48</v>
      </c>
      <c r="I10" s="2" t="s">
        <v>28</v>
      </c>
      <c r="J10" s="2" t="s">
        <v>18</v>
      </c>
      <c r="K10" s="2" t="s">
        <v>49</v>
      </c>
      <c r="L10" s="1">
        <v>0.62</v>
      </c>
      <c r="M10" s="1">
        <v>0.62</v>
      </c>
    </row>
    <row r="11" spans="1:13" x14ac:dyDescent="0.35">
      <c r="A11" s="2" t="s">
        <v>12</v>
      </c>
      <c r="B11" s="2" t="s">
        <v>20</v>
      </c>
      <c r="C11" s="2" t="s">
        <v>12</v>
      </c>
      <c r="D11" s="2" t="str">
        <f t="shared" si="0"/>
        <v>Pi Control V0 [C12]</v>
      </c>
      <c r="E11" s="2" t="s">
        <v>50</v>
      </c>
      <c r="F11" s="1">
        <v>1</v>
      </c>
      <c r="G11" s="2" t="s">
        <v>37</v>
      </c>
      <c r="H11" s="2" t="s">
        <v>51</v>
      </c>
      <c r="I11" s="2" t="s">
        <v>28</v>
      </c>
      <c r="J11" s="2" t="s">
        <v>18</v>
      </c>
      <c r="K11" s="2" t="s">
        <v>52</v>
      </c>
      <c r="L11" s="1">
        <v>0.08</v>
      </c>
      <c r="M11" s="1">
        <v>0.08</v>
      </c>
    </row>
    <row r="12" spans="1:13" x14ac:dyDescent="0.35">
      <c r="A12" s="2" t="s">
        <v>12</v>
      </c>
      <c r="B12" s="2" t="s">
        <v>20</v>
      </c>
      <c r="C12" s="2" t="s">
        <v>12</v>
      </c>
      <c r="D12" s="2" t="str">
        <f t="shared" si="0"/>
        <v>Pi Control V0 [C13]</v>
      </c>
      <c r="E12" s="2" t="s">
        <v>53</v>
      </c>
      <c r="F12" s="1">
        <v>1</v>
      </c>
      <c r="G12" s="2" t="s">
        <v>54</v>
      </c>
      <c r="H12" s="2" t="s">
        <v>55</v>
      </c>
      <c r="I12" s="2" t="s">
        <v>28</v>
      </c>
      <c r="J12" s="2" t="s">
        <v>18</v>
      </c>
      <c r="K12" s="2" t="s">
        <v>56</v>
      </c>
      <c r="L12" s="1">
        <v>0.08</v>
      </c>
      <c r="M12" s="1">
        <v>0.08</v>
      </c>
    </row>
    <row r="13" spans="1:13" x14ac:dyDescent="0.35">
      <c r="A13" s="2" t="s">
        <v>12</v>
      </c>
      <c r="B13" s="2" t="s">
        <v>20</v>
      </c>
      <c r="C13" s="2" t="s">
        <v>12</v>
      </c>
      <c r="D13" s="2" t="str">
        <f t="shared" si="0"/>
        <v>Pi Control V0 [C14]</v>
      </c>
      <c r="E13" s="2" t="s">
        <v>57</v>
      </c>
      <c r="F13" s="1">
        <v>1</v>
      </c>
      <c r="G13" s="2" t="s">
        <v>26</v>
      </c>
      <c r="H13" s="2" t="s">
        <v>58</v>
      </c>
      <c r="I13" s="2" t="s">
        <v>28</v>
      </c>
      <c r="J13" s="2" t="s">
        <v>18</v>
      </c>
      <c r="K13" s="2" t="s">
        <v>59</v>
      </c>
      <c r="L13" s="1">
        <v>0.2</v>
      </c>
      <c r="M13" s="1">
        <v>0.2</v>
      </c>
    </row>
    <row r="14" spans="1:13" x14ac:dyDescent="0.35">
      <c r="A14" s="2" t="s">
        <v>12</v>
      </c>
      <c r="B14" s="2" t="s">
        <v>20</v>
      </c>
      <c r="C14" s="2" t="s">
        <v>12</v>
      </c>
      <c r="D14" s="2" t="str">
        <f t="shared" si="0"/>
        <v>Pi Control V0 [C15]</v>
      </c>
      <c r="E14" s="2" t="s">
        <v>60</v>
      </c>
      <c r="F14" s="1">
        <v>1</v>
      </c>
      <c r="G14" s="2" t="s">
        <v>54</v>
      </c>
      <c r="H14" s="2" t="s">
        <v>61</v>
      </c>
      <c r="I14" s="2" t="s">
        <v>28</v>
      </c>
      <c r="J14" s="2" t="s">
        <v>18</v>
      </c>
      <c r="K14" s="2" t="s">
        <v>62</v>
      </c>
      <c r="L14" s="1">
        <v>0.1</v>
      </c>
      <c r="M14" s="1">
        <v>0.1</v>
      </c>
    </row>
    <row r="15" spans="1:13" x14ac:dyDescent="0.35">
      <c r="A15" s="2" t="s">
        <v>12</v>
      </c>
      <c r="B15" s="2" t="s">
        <v>20</v>
      </c>
      <c r="C15" s="2" t="s">
        <v>12</v>
      </c>
      <c r="D15" s="2" t="str">
        <f t="shared" si="0"/>
        <v>Pi Control V0 [C16]</v>
      </c>
      <c r="E15" s="2" t="s">
        <v>63</v>
      </c>
      <c r="F15" s="1">
        <v>1</v>
      </c>
      <c r="G15" s="2" t="s">
        <v>26</v>
      </c>
      <c r="H15" s="2" t="s">
        <v>64</v>
      </c>
      <c r="I15" s="2" t="s">
        <v>28</v>
      </c>
      <c r="J15" s="2" t="s">
        <v>18</v>
      </c>
      <c r="K15" s="2" t="s">
        <v>65</v>
      </c>
      <c r="L15" s="1">
        <v>0.1</v>
      </c>
      <c r="M15" s="1">
        <v>0.1</v>
      </c>
    </row>
    <row r="16" spans="1:13" x14ac:dyDescent="0.35">
      <c r="A16" s="2" t="s">
        <v>12</v>
      </c>
      <c r="B16" s="2" t="s">
        <v>66</v>
      </c>
      <c r="C16" s="2" t="s">
        <v>12</v>
      </c>
      <c r="D16" s="2" t="str">
        <f t="shared" si="0"/>
        <v>Pi Control V0 [C17, C18]</v>
      </c>
      <c r="E16" s="2" t="s">
        <v>67</v>
      </c>
      <c r="F16" s="1">
        <v>2</v>
      </c>
      <c r="G16" s="2" t="s">
        <v>37</v>
      </c>
      <c r="H16" s="2" t="s">
        <v>68</v>
      </c>
      <c r="I16" s="2" t="s">
        <v>28</v>
      </c>
      <c r="J16" s="2" t="s">
        <v>18</v>
      </c>
      <c r="K16" s="2" t="s">
        <v>69</v>
      </c>
      <c r="L16" s="1">
        <v>0.28000000000000003</v>
      </c>
      <c r="M16" s="1">
        <v>0.14000000000000001</v>
      </c>
    </row>
    <row r="17" spans="1:13" x14ac:dyDescent="0.35">
      <c r="A17" s="2" t="s">
        <v>12</v>
      </c>
      <c r="B17" s="2" t="s">
        <v>66</v>
      </c>
      <c r="C17" s="2" t="s">
        <v>12</v>
      </c>
      <c r="D17" s="2" t="str">
        <f t="shared" si="0"/>
        <v>Pi Control V0 [C19, C20, C21, C22, C23, C24, C25, C26, C27, C28, C29, C35, C39, C40, C42, C43, C44, C45, C46, C47, C48, C50, C53, C54, C55, C57, C58, C59, C60, C61, C64, C65, C66, C68, C69]</v>
      </c>
      <c r="E17" s="2" t="s">
        <v>70</v>
      </c>
      <c r="F17" s="1">
        <v>35</v>
      </c>
      <c r="G17" s="2" t="s">
        <v>26</v>
      </c>
      <c r="H17" s="2" t="s">
        <v>71</v>
      </c>
      <c r="I17" s="2" t="s">
        <v>28</v>
      </c>
      <c r="J17" s="2" t="s">
        <v>18</v>
      </c>
      <c r="K17" s="2" t="s">
        <v>72</v>
      </c>
      <c r="L17" s="1">
        <v>0.21</v>
      </c>
      <c r="M17" s="1">
        <v>6.0000000000000001E-3</v>
      </c>
    </row>
    <row r="18" spans="1:13" x14ac:dyDescent="0.35">
      <c r="A18" s="2" t="s">
        <v>12</v>
      </c>
      <c r="B18" s="2" t="s">
        <v>20</v>
      </c>
      <c r="C18" s="2" t="s">
        <v>12</v>
      </c>
      <c r="D18" s="2" t="str">
        <f t="shared" si="0"/>
        <v>Pi Control V0 [C30, C31]</v>
      </c>
      <c r="E18" s="2" t="s">
        <v>73</v>
      </c>
      <c r="F18" s="1">
        <v>2</v>
      </c>
      <c r="G18" s="2" t="s">
        <v>74</v>
      </c>
      <c r="H18" s="2" t="s">
        <v>75</v>
      </c>
      <c r="I18" s="2" t="s">
        <v>28</v>
      </c>
      <c r="J18" s="2" t="s">
        <v>18</v>
      </c>
      <c r="K18" s="2" t="s">
        <v>76</v>
      </c>
      <c r="L18" s="1">
        <v>2.76</v>
      </c>
      <c r="M18" s="1">
        <v>1.38</v>
      </c>
    </row>
    <row r="19" spans="1:13" x14ac:dyDescent="0.35">
      <c r="A19" s="2" t="s">
        <v>12</v>
      </c>
      <c r="B19" s="2" t="s">
        <v>20</v>
      </c>
      <c r="C19" s="2" t="s">
        <v>12</v>
      </c>
      <c r="D19" s="2" t="str">
        <f t="shared" si="0"/>
        <v>Pi Control V0 [C32, C34, C36, C38, C41]</v>
      </c>
      <c r="E19" s="2" t="s">
        <v>77</v>
      </c>
      <c r="F19" s="1">
        <v>5</v>
      </c>
      <c r="G19" s="2" t="s">
        <v>78</v>
      </c>
      <c r="H19" s="2" t="s">
        <v>79</v>
      </c>
      <c r="I19" s="2" t="s">
        <v>28</v>
      </c>
      <c r="J19" s="2" t="s">
        <v>18</v>
      </c>
      <c r="K19" s="2" t="s">
        <v>80</v>
      </c>
      <c r="L19" s="1">
        <v>0.08</v>
      </c>
      <c r="M19" s="1">
        <v>8.0000000000000002E-3</v>
      </c>
    </row>
    <row r="20" spans="1:13" x14ac:dyDescent="0.35">
      <c r="A20" s="2" t="s">
        <v>12</v>
      </c>
      <c r="B20" s="2" t="s">
        <v>20</v>
      </c>
      <c r="C20" s="2" t="s">
        <v>12</v>
      </c>
      <c r="D20" s="2" t="str">
        <f t="shared" si="0"/>
        <v>Pi Control V0 [C33]</v>
      </c>
      <c r="E20" s="2" t="s">
        <v>81</v>
      </c>
      <c r="F20" s="1">
        <v>1</v>
      </c>
      <c r="G20" s="2" t="s">
        <v>82</v>
      </c>
      <c r="H20" s="2" t="s">
        <v>83</v>
      </c>
      <c r="I20" s="2" t="s">
        <v>28</v>
      </c>
      <c r="J20" s="2" t="s">
        <v>18</v>
      </c>
      <c r="K20" s="2" t="s">
        <v>84</v>
      </c>
      <c r="L20" s="1">
        <v>0.08</v>
      </c>
      <c r="M20" s="1">
        <v>0.08</v>
      </c>
    </row>
    <row r="21" spans="1:13" x14ac:dyDescent="0.35">
      <c r="A21" s="2" t="s">
        <v>12</v>
      </c>
      <c r="B21" s="2" t="s">
        <v>20</v>
      </c>
      <c r="C21" s="2" t="s">
        <v>12</v>
      </c>
      <c r="D21" s="2" t="str">
        <f t="shared" si="0"/>
        <v>Pi Control V0 [C37]</v>
      </c>
      <c r="E21" s="2" t="s">
        <v>85</v>
      </c>
      <c r="F21" s="1">
        <v>1</v>
      </c>
      <c r="G21" s="2" t="s">
        <v>37</v>
      </c>
      <c r="H21" s="2" t="s">
        <v>86</v>
      </c>
      <c r="I21" s="2" t="s">
        <v>87</v>
      </c>
      <c r="J21" s="2" t="s">
        <v>18</v>
      </c>
      <c r="K21" s="2" t="s">
        <v>88</v>
      </c>
      <c r="L21" s="1">
        <v>0.08</v>
      </c>
      <c r="M21" s="1">
        <v>0.08</v>
      </c>
    </row>
    <row r="22" spans="1:13" x14ac:dyDescent="0.35">
      <c r="A22" s="2" t="s">
        <v>12</v>
      </c>
      <c r="B22" s="2" t="s">
        <v>66</v>
      </c>
      <c r="C22" s="2" t="s">
        <v>12</v>
      </c>
      <c r="D22" s="2" t="str">
        <f t="shared" si="0"/>
        <v>Pi Control V0 [C49, C51, C52, C56]</v>
      </c>
      <c r="E22" s="2" t="s">
        <v>89</v>
      </c>
      <c r="F22" s="1">
        <v>4</v>
      </c>
      <c r="G22" s="2" t="s">
        <v>37</v>
      </c>
      <c r="H22" s="2" t="s">
        <v>90</v>
      </c>
      <c r="I22" s="2" t="s">
        <v>28</v>
      </c>
      <c r="J22" s="2" t="s">
        <v>18</v>
      </c>
      <c r="K22" s="2" t="s">
        <v>91</v>
      </c>
      <c r="L22" s="1">
        <v>0.32</v>
      </c>
      <c r="M22" s="1">
        <v>0.08</v>
      </c>
    </row>
    <row r="23" spans="1:13" x14ac:dyDescent="0.35">
      <c r="A23" s="2" t="s">
        <v>12</v>
      </c>
      <c r="B23" s="2" t="s">
        <v>92</v>
      </c>
      <c r="C23" s="2" t="s">
        <v>12</v>
      </c>
      <c r="D23" s="2" t="str">
        <f t="shared" si="0"/>
        <v>Pi Control V0 [C62]</v>
      </c>
      <c r="E23" s="2" t="s">
        <v>93</v>
      </c>
      <c r="F23" s="1">
        <v>1</v>
      </c>
      <c r="G23" s="2" t="s">
        <v>94</v>
      </c>
      <c r="H23" s="2" t="s">
        <v>95</v>
      </c>
      <c r="I23" s="2" t="s">
        <v>28</v>
      </c>
      <c r="J23" s="2" t="s">
        <v>18</v>
      </c>
      <c r="K23" s="2" t="s">
        <v>96</v>
      </c>
      <c r="L23" s="1">
        <v>0.88</v>
      </c>
      <c r="M23" s="1">
        <v>0.88</v>
      </c>
    </row>
    <row r="24" spans="1:13" x14ac:dyDescent="0.35">
      <c r="A24" s="2" t="s">
        <v>12</v>
      </c>
      <c r="B24" s="2" t="s">
        <v>92</v>
      </c>
      <c r="C24" s="2" t="s">
        <v>12</v>
      </c>
      <c r="D24" s="2" t="str">
        <f t="shared" si="0"/>
        <v>Pi Control V0 [C63]</v>
      </c>
      <c r="E24" s="2" t="s">
        <v>97</v>
      </c>
      <c r="F24" s="1">
        <v>1</v>
      </c>
      <c r="G24" s="2" t="s">
        <v>98</v>
      </c>
      <c r="H24" s="2" t="s">
        <v>99</v>
      </c>
      <c r="I24" s="2" t="s">
        <v>28</v>
      </c>
      <c r="J24" s="2" t="s">
        <v>18</v>
      </c>
      <c r="K24" s="2" t="s">
        <v>100</v>
      </c>
      <c r="L24" s="1">
        <v>0.47</v>
      </c>
      <c r="M24" s="1">
        <v>0.47</v>
      </c>
    </row>
    <row r="25" spans="1:13" x14ac:dyDescent="0.35">
      <c r="A25" s="2" t="s">
        <v>12</v>
      </c>
      <c r="B25" s="2" t="s">
        <v>20</v>
      </c>
      <c r="C25" s="2" t="s">
        <v>12</v>
      </c>
      <c r="D25" s="2" t="str">
        <f t="shared" si="0"/>
        <v>Pi Control V0 [C67, C70]</v>
      </c>
      <c r="E25" s="2" t="s">
        <v>101</v>
      </c>
      <c r="F25" s="1">
        <v>2</v>
      </c>
      <c r="G25" s="2" t="s">
        <v>37</v>
      </c>
      <c r="H25" s="2" t="s">
        <v>102</v>
      </c>
      <c r="I25" s="2" t="s">
        <v>28</v>
      </c>
      <c r="J25" s="2" t="s">
        <v>18</v>
      </c>
      <c r="K25" s="2" t="s">
        <v>103</v>
      </c>
      <c r="L25" s="1">
        <v>0.2</v>
      </c>
      <c r="M25" s="1">
        <v>0.1</v>
      </c>
    </row>
    <row r="26" spans="1:13" x14ac:dyDescent="0.35">
      <c r="A26" s="2" t="s">
        <v>12</v>
      </c>
      <c r="B26" s="2" t="s">
        <v>104</v>
      </c>
      <c r="C26" s="2" t="s">
        <v>105</v>
      </c>
      <c r="D26" s="2" t="str">
        <f t="shared" si="0"/>
        <v>Pi Control V0 [D1]</v>
      </c>
      <c r="E26" s="2" t="s">
        <v>106</v>
      </c>
      <c r="F26" s="1">
        <v>1</v>
      </c>
      <c r="G26" s="2" t="s">
        <v>107</v>
      </c>
      <c r="H26" s="2" t="s">
        <v>108</v>
      </c>
      <c r="I26" s="2" t="s">
        <v>17</v>
      </c>
      <c r="J26" s="2" t="s">
        <v>18</v>
      </c>
      <c r="K26" s="2" t="s">
        <v>109</v>
      </c>
      <c r="L26" s="1">
        <v>0.15</v>
      </c>
      <c r="M26" s="1">
        <v>0.15</v>
      </c>
    </row>
    <row r="27" spans="1:13" x14ac:dyDescent="0.35">
      <c r="A27" s="2" t="s">
        <v>12</v>
      </c>
      <c r="B27" s="2" t="s">
        <v>104</v>
      </c>
      <c r="C27" s="2" t="s">
        <v>105</v>
      </c>
      <c r="D27" s="2" t="str">
        <f t="shared" si="0"/>
        <v>Pi Control V0 [D2]</v>
      </c>
      <c r="E27" s="2" t="s">
        <v>110</v>
      </c>
      <c r="F27" s="1">
        <v>1</v>
      </c>
      <c r="G27" s="2" t="s">
        <v>111</v>
      </c>
      <c r="H27" s="2" t="s">
        <v>112</v>
      </c>
      <c r="I27" s="2" t="s">
        <v>17</v>
      </c>
      <c r="J27" s="2" t="s">
        <v>18</v>
      </c>
      <c r="K27" s="2" t="s">
        <v>113</v>
      </c>
      <c r="L27" s="1">
        <v>0.15</v>
      </c>
      <c r="M27" s="1">
        <v>0.15</v>
      </c>
    </row>
    <row r="28" spans="1:13" x14ac:dyDescent="0.35">
      <c r="A28" s="2" t="s">
        <v>12</v>
      </c>
      <c r="B28" s="2" t="s">
        <v>104</v>
      </c>
      <c r="C28" s="2" t="s">
        <v>105</v>
      </c>
      <c r="D28" s="2" t="str">
        <f t="shared" si="0"/>
        <v>Pi Control V0 [D3]</v>
      </c>
      <c r="E28" s="2" t="s">
        <v>114</v>
      </c>
      <c r="F28" s="1">
        <v>1</v>
      </c>
      <c r="G28" s="2" t="s">
        <v>107</v>
      </c>
      <c r="H28" s="2" t="s">
        <v>115</v>
      </c>
      <c r="I28" s="2" t="s">
        <v>17</v>
      </c>
      <c r="J28" s="2" t="s">
        <v>18</v>
      </c>
      <c r="K28" s="2" t="s">
        <v>116</v>
      </c>
      <c r="L28" s="1">
        <v>0.15</v>
      </c>
      <c r="M28" s="1">
        <v>0.15</v>
      </c>
    </row>
    <row r="29" spans="1:13" x14ac:dyDescent="0.35">
      <c r="A29" s="2" t="s">
        <v>12</v>
      </c>
      <c r="B29" s="2" t="s">
        <v>104</v>
      </c>
      <c r="C29" s="2" t="s">
        <v>105</v>
      </c>
      <c r="D29" s="2" t="str">
        <f t="shared" si="0"/>
        <v>Pi Control V0 [D4, D5]</v>
      </c>
      <c r="E29" s="2" t="s">
        <v>117</v>
      </c>
      <c r="F29" s="1">
        <v>2</v>
      </c>
      <c r="G29" s="2" t="s">
        <v>118</v>
      </c>
      <c r="H29" s="2" t="s">
        <v>119</v>
      </c>
      <c r="I29" s="2" t="s">
        <v>17</v>
      </c>
      <c r="J29" s="2" t="s">
        <v>18</v>
      </c>
      <c r="K29" s="2" t="s">
        <v>120</v>
      </c>
      <c r="L29" s="1">
        <v>0.38</v>
      </c>
      <c r="M29" s="1">
        <v>0.19</v>
      </c>
    </row>
    <row r="30" spans="1:13" x14ac:dyDescent="0.35">
      <c r="A30" s="2" t="s">
        <v>12</v>
      </c>
      <c r="B30" s="2" t="s">
        <v>104</v>
      </c>
      <c r="C30" s="2" t="s">
        <v>105</v>
      </c>
      <c r="D30" s="2" t="str">
        <f t="shared" si="0"/>
        <v>Pi Control V0 [D6, D7]</v>
      </c>
      <c r="E30" s="2" t="s">
        <v>121</v>
      </c>
      <c r="F30" s="1">
        <v>2</v>
      </c>
      <c r="G30" s="2" t="s">
        <v>122</v>
      </c>
      <c r="H30" s="2" t="s">
        <v>123</v>
      </c>
      <c r="I30" s="2" t="s">
        <v>17</v>
      </c>
      <c r="J30" s="2" t="s">
        <v>18</v>
      </c>
      <c r="K30" s="2" t="s">
        <v>124</v>
      </c>
      <c r="L30" s="1">
        <v>0.2</v>
      </c>
      <c r="M30" s="1">
        <v>0.1</v>
      </c>
    </row>
    <row r="31" spans="1:13" x14ac:dyDescent="0.35">
      <c r="A31" s="2" t="s">
        <v>12</v>
      </c>
      <c r="B31" s="2" t="s">
        <v>125</v>
      </c>
      <c r="C31" s="2" t="s">
        <v>105</v>
      </c>
      <c r="D31" s="2" t="str">
        <f t="shared" si="0"/>
        <v>Pi Control V0 [D8]</v>
      </c>
      <c r="E31" s="2" t="s">
        <v>126</v>
      </c>
      <c r="F31" s="1">
        <v>1</v>
      </c>
      <c r="G31" s="2" t="s">
        <v>127</v>
      </c>
      <c r="H31" s="2" t="s">
        <v>128</v>
      </c>
      <c r="I31" s="2" t="s">
        <v>28</v>
      </c>
      <c r="J31" s="2" t="s">
        <v>18</v>
      </c>
      <c r="K31" s="2" t="s">
        <v>129</v>
      </c>
      <c r="L31" s="1">
        <v>0.62</v>
      </c>
      <c r="M31" s="1">
        <v>0.62</v>
      </c>
    </row>
    <row r="32" spans="1:13" x14ac:dyDescent="0.35">
      <c r="A32" s="2" t="s">
        <v>12</v>
      </c>
      <c r="B32" s="2" t="s">
        <v>130</v>
      </c>
      <c r="C32" s="2" t="s">
        <v>12</v>
      </c>
      <c r="D32" s="2" t="str">
        <f t="shared" si="0"/>
        <v>Pi Control V0 [F1]</v>
      </c>
      <c r="E32" s="2" t="s">
        <v>131</v>
      </c>
      <c r="F32" s="1">
        <v>1</v>
      </c>
      <c r="G32" s="2" t="s">
        <v>132</v>
      </c>
      <c r="H32" s="2" t="s">
        <v>133</v>
      </c>
      <c r="I32" s="2" t="s">
        <v>28</v>
      </c>
      <c r="J32" s="2" t="s">
        <v>18</v>
      </c>
      <c r="K32" s="2" t="s">
        <v>134</v>
      </c>
      <c r="L32" s="1">
        <v>1.23</v>
      </c>
      <c r="M32" s="1">
        <v>1.23</v>
      </c>
    </row>
    <row r="33" spans="1:13" x14ac:dyDescent="0.35">
      <c r="A33" s="2" t="s">
        <v>12</v>
      </c>
      <c r="B33" s="2" t="s">
        <v>135</v>
      </c>
      <c r="C33" s="2" t="s">
        <v>136</v>
      </c>
      <c r="D33" s="2" t="str">
        <f t="shared" si="0"/>
        <v>Pi Control V0 [F2]</v>
      </c>
      <c r="E33" s="2" t="s">
        <v>137</v>
      </c>
      <c r="F33" s="1">
        <v>1</v>
      </c>
      <c r="G33" s="2" t="s">
        <v>138</v>
      </c>
      <c r="H33" s="2" t="s">
        <v>136</v>
      </c>
      <c r="I33" s="2" t="s">
        <v>28</v>
      </c>
      <c r="J33" s="2" t="s">
        <v>18</v>
      </c>
      <c r="K33" s="2" t="s">
        <v>139</v>
      </c>
      <c r="L33" s="1">
        <v>0.36</v>
      </c>
      <c r="M33" s="1">
        <v>0.36</v>
      </c>
    </row>
    <row r="34" spans="1:13" x14ac:dyDescent="0.35">
      <c r="A34" s="2" t="s">
        <v>12</v>
      </c>
      <c r="B34" s="2" t="s">
        <v>140</v>
      </c>
      <c r="C34" s="2" t="s">
        <v>12</v>
      </c>
      <c r="D34" s="2" t="str">
        <f t="shared" si="0"/>
        <v>Pi Control V0 [H1, H2, H3]</v>
      </c>
      <c r="E34" s="2" t="s">
        <v>141</v>
      </c>
      <c r="F34" s="1">
        <v>3</v>
      </c>
      <c r="G34" s="2" t="s">
        <v>142</v>
      </c>
      <c r="H34" s="2" t="s">
        <v>143</v>
      </c>
      <c r="I34" s="2" t="s">
        <v>28</v>
      </c>
      <c r="J34" s="2" t="s">
        <v>18</v>
      </c>
      <c r="K34" s="2" t="s">
        <v>144</v>
      </c>
      <c r="L34" s="1">
        <v>4.71</v>
      </c>
      <c r="M34" s="1">
        <v>1.57</v>
      </c>
    </row>
    <row r="35" spans="1:13" ht="43.5" x14ac:dyDescent="0.35">
      <c r="A35" s="2" t="s">
        <v>12</v>
      </c>
      <c r="B35" s="2" t="s">
        <v>145</v>
      </c>
      <c r="C35" s="3" t="s">
        <v>146</v>
      </c>
      <c r="D35" s="2" t="str">
        <f t="shared" si="0"/>
        <v>Pi Control V0 [H4, H5, H7, H8, H9]</v>
      </c>
      <c r="E35" s="2" t="s">
        <v>147</v>
      </c>
      <c r="F35" s="1">
        <v>5</v>
      </c>
      <c r="G35" s="2" t="s">
        <v>142</v>
      </c>
      <c r="H35" s="2" t="s">
        <v>148</v>
      </c>
      <c r="I35" s="2" t="s">
        <v>28</v>
      </c>
      <c r="J35" s="2" t="s">
        <v>18</v>
      </c>
      <c r="K35" s="2" t="s">
        <v>149</v>
      </c>
      <c r="L35" s="1">
        <v>3.9</v>
      </c>
      <c r="M35" s="1">
        <v>0.78</v>
      </c>
    </row>
    <row r="36" spans="1:13" ht="43.5" x14ac:dyDescent="0.35">
      <c r="A36" s="2" t="s">
        <v>12</v>
      </c>
      <c r="B36" s="2" t="s">
        <v>150</v>
      </c>
      <c r="C36" s="3" t="s">
        <v>151</v>
      </c>
      <c r="D36" s="2" t="str">
        <f t="shared" si="0"/>
        <v>Pi Control V0 [H6]</v>
      </c>
      <c r="E36" s="2" t="s">
        <v>152</v>
      </c>
      <c r="F36" s="1">
        <v>1</v>
      </c>
      <c r="G36" s="2" t="s">
        <v>142</v>
      </c>
      <c r="H36" s="2" t="s">
        <v>153</v>
      </c>
      <c r="I36" s="2" t="s">
        <v>28</v>
      </c>
      <c r="J36" s="2" t="s">
        <v>18</v>
      </c>
      <c r="K36" s="2" t="s">
        <v>154</v>
      </c>
      <c r="L36" s="1">
        <v>1.19</v>
      </c>
      <c r="M36" s="1">
        <v>1.19</v>
      </c>
    </row>
    <row r="37" spans="1:13" ht="43.5" x14ac:dyDescent="0.35">
      <c r="A37" s="2" t="s">
        <v>12</v>
      </c>
      <c r="B37" s="2" t="s">
        <v>155</v>
      </c>
      <c r="C37" s="3" t="s">
        <v>156</v>
      </c>
      <c r="D37" s="2" t="str">
        <f t="shared" si="0"/>
        <v>Pi Control V0 [H10]</v>
      </c>
      <c r="E37" s="2" t="s">
        <v>157</v>
      </c>
      <c r="F37" s="1">
        <v>1</v>
      </c>
      <c r="G37" s="2" t="s">
        <v>142</v>
      </c>
      <c r="H37" s="2" t="s">
        <v>158</v>
      </c>
      <c r="I37" s="2" t="s">
        <v>28</v>
      </c>
      <c r="J37" s="2" t="s">
        <v>18</v>
      </c>
      <c r="K37" s="2" t="s">
        <v>159</v>
      </c>
      <c r="L37" s="1">
        <v>0.92</v>
      </c>
      <c r="M37" s="1">
        <v>0.92</v>
      </c>
    </row>
    <row r="38" spans="1:13" x14ac:dyDescent="0.35">
      <c r="A38" s="2" t="s">
        <v>12</v>
      </c>
      <c r="B38" s="2" t="s">
        <v>160</v>
      </c>
      <c r="C38" s="2" t="s">
        <v>12</v>
      </c>
      <c r="D38" s="2" t="str">
        <f t="shared" si="0"/>
        <v>Pi Control V0 [L1]</v>
      </c>
      <c r="E38" s="2" t="s">
        <v>161</v>
      </c>
      <c r="F38" s="1">
        <v>1</v>
      </c>
      <c r="G38" s="2" t="s">
        <v>118</v>
      </c>
      <c r="H38" s="2" t="s">
        <v>162</v>
      </c>
      <c r="I38" s="2" t="s">
        <v>17</v>
      </c>
      <c r="J38" s="2" t="s">
        <v>18</v>
      </c>
      <c r="K38" s="2" t="s">
        <v>163</v>
      </c>
      <c r="L38" s="1">
        <v>0.1</v>
      </c>
      <c r="M38" s="1">
        <v>0.1</v>
      </c>
    </row>
    <row r="39" spans="1:13" x14ac:dyDescent="0.35">
      <c r="A39" s="2" t="s">
        <v>12</v>
      </c>
      <c r="B39" s="2" t="s">
        <v>160</v>
      </c>
      <c r="C39" s="2" t="s">
        <v>12</v>
      </c>
      <c r="D39" s="2" t="str">
        <f t="shared" si="0"/>
        <v>Pi Control V0 [L2]</v>
      </c>
      <c r="E39" s="2" t="s">
        <v>164</v>
      </c>
      <c r="F39" s="1">
        <v>1</v>
      </c>
      <c r="G39" s="2" t="s">
        <v>37</v>
      </c>
      <c r="H39" s="2" t="s">
        <v>165</v>
      </c>
      <c r="I39" s="2" t="s">
        <v>28</v>
      </c>
      <c r="J39" s="2" t="s">
        <v>18</v>
      </c>
      <c r="K39" s="2" t="s">
        <v>166</v>
      </c>
      <c r="L39" s="1">
        <v>0.14000000000000001</v>
      </c>
      <c r="M39" s="1">
        <v>0.14000000000000001</v>
      </c>
    </row>
    <row r="40" spans="1:13" x14ac:dyDescent="0.35">
      <c r="A40" s="2" t="s">
        <v>12</v>
      </c>
      <c r="B40" s="2" t="s">
        <v>160</v>
      </c>
      <c r="C40" s="2" t="s">
        <v>12</v>
      </c>
      <c r="D40" s="2" t="str">
        <f t="shared" si="0"/>
        <v>Pi Control V0 [L3]</v>
      </c>
      <c r="E40" s="2" t="s">
        <v>167</v>
      </c>
      <c r="F40" s="1">
        <v>1</v>
      </c>
      <c r="G40" s="2" t="s">
        <v>37</v>
      </c>
      <c r="H40" s="2" t="s">
        <v>168</v>
      </c>
      <c r="I40" s="2" t="s">
        <v>28</v>
      </c>
      <c r="J40" s="2" t="s">
        <v>18</v>
      </c>
      <c r="K40" s="2" t="s">
        <v>169</v>
      </c>
      <c r="L40" s="1">
        <v>0.14000000000000001</v>
      </c>
      <c r="M40" s="1">
        <v>0.14000000000000001</v>
      </c>
    </row>
    <row r="41" spans="1:13" x14ac:dyDescent="0.35">
      <c r="A41" s="2" t="s">
        <v>12</v>
      </c>
      <c r="B41" s="2" t="s">
        <v>160</v>
      </c>
      <c r="C41" s="2" t="s">
        <v>12</v>
      </c>
      <c r="D41" s="2" t="str">
        <f t="shared" si="0"/>
        <v>Pi Control V0 [L4]</v>
      </c>
      <c r="E41" s="2" t="s">
        <v>170</v>
      </c>
      <c r="F41" s="1">
        <v>1</v>
      </c>
      <c r="G41" s="2" t="s">
        <v>37</v>
      </c>
      <c r="H41" s="2" t="s">
        <v>171</v>
      </c>
      <c r="I41" s="2" t="s">
        <v>28</v>
      </c>
      <c r="J41" s="2" t="s">
        <v>18</v>
      </c>
      <c r="K41" s="2" t="s">
        <v>172</v>
      </c>
      <c r="L41" s="1">
        <v>0.14000000000000001</v>
      </c>
      <c r="M41" s="1">
        <v>0.14000000000000001</v>
      </c>
    </row>
    <row r="42" spans="1:13" x14ac:dyDescent="0.35">
      <c r="A42" s="2" t="s">
        <v>12</v>
      </c>
      <c r="B42" s="2" t="s">
        <v>173</v>
      </c>
      <c r="C42" s="2" t="s">
        <v>174</v>
      </c>
      <c r="D42" s="2" t="str">
        <f t="shared" si="0"/>
        <v>Pi Control V0 [L5]</v>
      </c>
      <c r="E42" s="2" t="s">
        <v>175</v>
      </c>
      <c r="F42" s="1">
        <v>1</v>
      </c>
      <c r="G42" s="2" t="s">
        <v>176</v>
      </c>
      <c r="H42" s="2" t="s">
        <v>174</v>
      </c>
      <c r="I42" s="2" t="s">
        <v>28</v>
      </c>
      <c r="J42" s="2" t="s">
        <v>18</v>
      </c>
      <c r="K42" s="2" t="s">
        <v>177</v>
      </c>
      <c r="L42" s="1">
        <v>0.32</v>
      </c>
      <c r="M42" s="1">
        <v>0.32</v>
      </c>
    </row>
    <row r="43" spans="1:13" x14ac:dyDescent="0.35">
      <c r="A43" s="2" t="s">
        <v>12</v>
      </c>
      <c r="B43" s="2" t="s">
        <v>160</v>
      </c>
      <c r="C43" s="2" t="s">
        <v>12</v>
      </c>
      <c r="D43" s="2" t="str">
        <f t="shared" si="0"/>
        <v>Pi Control V0 [L6]</v>
      </c>
      <c r="E43" s="2" t="s">
        <v>178</v>
      </c>
      <c r="F43" s="1">
        <v>1</v>
      </c>
      <c r="G43" s="2" t="s">
        <v>37</v>
      </c>
      <c r="H43" s="2" t="s">
        <v>179</v>
      </c>
      <c r="I43" s="2" t="s">
        <v>28</v>
      </c>
      <c r="J43" s="2" t="s">
        <v>18</v>
      </c>
      <c r="K43" s="2" t="s">
        <v>180</v>
      </c>
      <c r="L43" s="1">
        <v>0.11</v>
      </c>
      <c r="M43" s="1">
        <v>0.11</v>
      </c>
    </row>
    <row r="44" spans="1:13" x14ac:dyDescent="0.35">
      <c r="A44" s="2" t="s">
        <v>12</v>
      </c>
      <c r="B44" s="2" t="s">
        <v>160</v>
      </c>
      <c r="C44" s="2" t="s">
        <v>12</v>
      </c>
      <c r="D44" s="2" t="str">
        <f t="shared" si="0"/>
        <v>Pi Control V0 [L7]</v>
      </c>
      <c r="E44" s="2" t="s">
        <v>181</v>
      </c>
      <c r="F44" s="1">
        <v>1</v>
      </c>
      <c r="G44" s="2" t="s">
        <v>182</v>
      </c>
      <c r="H44" s="2" t="s">
        <v>183</v>
      </c>
      <c r="I44" s="2" t="s">
        <v>28</v>
      </c>
      <c r="J44" s="2" t="s">
        <v>18</v>
      </c>
      <c r="K44" s="2" t="s">
        <v>184</v>
      </c>
      <c r="L44" s="1">
        <v>0.1</v>
      </c>
      <c r="M44" s="1">
        <v>0.1</v>
      </c>
    </row>
    <row r="45" spans="1:13" x14ac:dyDescent="0.35">
      <c r="A45" s="2" t="s">
        <v>12</v>
      </c>
      <c r="B45" s="2" t="s">
        <v>185</v>
      </c>
      <c r="C45" s="2" t="s">
        <v>185</v>
      </c>
      <c r="D45" s="2" t="str">
        <f t="shared" si="0"/>
        <v>Pi Control V0 [L8]</v>
      </c>
      <c r="E45" s="2" t="s">
        <v>186</v>
      </c>
      <c r="F45" s="1">
        <v>1</v>
      </c>
      <c r="G45" s="2" t="s">
        <v>118</v>
      </c>
      <c r="H45" s="2" t="s">
        <v>185</v>
      </c>
      <c r="I45" s="2" t="s">
        <v>17</v>
      </c>
      <c r="J45" s="2" t="s">
        <v>18</v>
      </c>
      <c r="K45" s="2" t="s">
        <v>187</v>
      </c>
      <c r="L45" s="1">
        <v>0.23</v>
      </c>
      <c r="M45" s="1">
        <v>0.23</v>
      </c>
    </row>
    <row r="46" spans="1:13" x14ac:dyDescent="0.35">
      <c r="A46" s="2" t="s">
        <v>12</v>
      </c>
      <c r="B46" s="2" t="s">
        <v>160</v>
      </c>
      <c r="C46" s="2" t="s">
        <v>12</v>
      </c>
      <c r="D46" s="2" t="str">
        <f t="shared" si="0"/>
        <v>Pi Control V0 [L9]</v>
      </c>
      <c r="E46" s="2" t="s">
        <v>188</v>
      </c>
      <c r="F46" s="1">
        <v>1</v>
      </c>
      <c r="G46" s="2" t="s">
        <v>182</v>
      </c>
      <c r="H46" s="2" t="s">
        <v>189</v>
      </c>
      <c r="I46" s="2" t="s">
        <v>28</v>
      </c>
      <c r="J46" s="2" t="s">
        <v>18</v>
      </c>
      <c r="K46" s="2" t="s">
        <v>190</v>
      </c>
      <c r="L46" s="1">
        <v>0.1</v>
      </c>
      <c r="M46" s="1">
        <v>0.1</v>
      </c>
    </row>
    <row r="47" spans="1:13" x14ac:dyDescent="0.35">
      <c r="A47" s="2" t="s">
        <v>12</v>
      </c>
      <c r="B47" s="2" t="s">
        <v>191</v>
      </c>
      <c r="C47" s="2" t="s">
        <v>12</v>
      </c>
      <c r="D47" s="2" t="str">
        <f t="shared" si="0"/>
        <v>Pi Control V0 [O1]</v>
      </c>
      <c r="E47" s="2" t="s">
        <v>192</v>
      </c>
      <c r="F47" s="1">
        <v>1</v>
      </c>
      <c r="G47" s="2" t="s">
        <v>37</v>
      </c>
      <c r="H47" s="2" t="s">
        <v>193</v>
      </c>
      <c r="I47" s="2" t="s">
        <v>28</v>
      </c>
      <c r="J47" s="2" t="s">
        <v>18</v>
      </c>
      <c r="K47" s="2" t="s">
        <v>194</v>
      </c>
      <c r="L47" s="1">
        <v>0.32</v>
      </c>
      <c r="M47" s="1">
        <v>0.32</v>
      </c>
    </row>
    <row r="48" spans="1:13" x14ac:dyDescent="0.35">
      <c r="A48" s="2" t="s">
        <v>12</v>
      </c>
      <c r="B48" s="2" t="s">
        <v>195</v>
      </c>
      <c r="C48" s="2" t="s">
        <v>195</v>
      </c>
      <c r="D48" s="2" t="str">
        <f t="shared" si="0"/>
        <v>Pi Control V0 [Q1]</v>
      </c>
      <c r="E48" s="2" t="s">
        <v>196</v>
      </c>
      <c r="F48" s="1">
        <v>1</v>
      </c>
      <c r="G48" s="2" t="s">
        <v>197</v>
      </c>
      <c r="H48" s="2" t="s">
        <v>198</v>
      </c>
      <c r="I48" s="2" t="s">
        <v>28</v>
      </c>
      <c r="J48" s="2" t="s">
        <v>18</v>
      </c>
      <c r="K48" s="2" t="s">
        <v>199</v>
      </c>
      <c r="L48" s="1">
        <v>0.57999999999999996</v>
      </c>
      <c r="M48" s="1">
        <v>0.57999999999999996</v>
      </c>
    </row>
    <row r="49" spans="1:13" x14ac:dyDescent="0.35">
      <c r="A49" s="2" t="s">
        <v>12</v>
      </c>
      <c r="B49" s="2" t="s">
        <v>200</v>
      </c>
      <c r="C49" s="2" t="s">
        <v>105</v>
      </c>
      <c r="D49" s="2" t="str">
        <f t="shared" si="0"/>
        <v>Pi Control V0 [R1, R6, R49]</v>
      </c>
      <c r="E49" s="2" t="s">
        <v>201</v>
      </c>
      <c r="F49" s="1">
        <v>3</v>
      </c>
      <c r="G49" s="2" t="s">
        <v>26</v>
      </c>
      <c r="H49" s="2" t="s">
        <v>202</v>
      </c>
      <c r="I49" s="2" t="s">
        <v>28</v>
      </c>
      <c r="J49" s="2" t="s">
        <v>18</v>
      </c>
      <c r="K49" s="2" t="s">
        <v>203</v>
      </c>
      <c r="L49" s="1">
        <v>0.39</v>
      </c>
      <c r="M49" s="1">
        <v>0.13</v>
      </c>
    </row>
    <row r="50" spans="1:13" x14ac:dyDescent="0.35">
      <c r="A50" s="2" t="s">
        <v>12</v>
      </c>
      <c r="B50" s="2" t="s">
        <v>200</v>
      </c>
      <c r="C50" s="2" t="s">
        <v>105</v>
      </c>
      <c r="D50" s="2" t="str">
        <f t="shared" si="0"/>
        <v>Pi Control V0 [R2, R3, R8, R10, R15, R16, R17, R18, R19, R20, R21, R22, R37, R39]</v>
      </c>
      <c r="E50" s="2" t="s">
        <v>204</v>
      </c>
      <c r="F50" s="1">
        <v>14</v>
      </c>
      <c r="G50" s="2" t="s">
        <v>205</v>
      </c>
      <c r="H50" s="2" t="s">
        <v>206</v>
      </c>
      <c r="I50" s="2" t="s">
        <v>28</v>
      </c>
      <c r="J50" s="2" t="s">
        <v>18</v>
      </c>
      <c r="K50" s="2" t="s">
        <v>207</v>
      </c>
      <c r="L50" s="1">
        <v>0.46200000000000002</v>
      </c>
      <c r="M50" s="1">
        <v>3.3000000000000002E-2</v>
      </c>
    </row>
    <row r="51" spans="1:13" x14ac:dyDescent="0.35">
      <c r="A51" s="2" t="s">
        <v>12</v>
      </c>
      <c r="B51" s="2" t="s">
        <v>200</v>
      </c>
      <c r="C51" s="2" t="s">
        <v>105</v>
      </c>
      <c r="D51" s="2" t="str">
        <f t="shared" si="0"/>
        <v>Pi Control V0 [R4, R5, R40, R46, R47]</v>
      </c>
      <c r="E51" s="2" t="s">
        <v>208</v>
      </c>
      <c r="F51" s="1">
        <v>5</v>
      </c>
      <c r="G51" s="2" t="s">
        <v>26</v>
      </c>
      <c r="H51" s="2" t="s">
        <v>209</v>
      </c>
      <c r="I51" s="2" t="s">
        <v>28</v>
      </c>
      <c r="J51" s="2" t="s">
        <v>18</v>
      </c>
      <c r="K51" s="2" t="s">
        <v>210</v>
      </c>
      <c r="L51" s="1">
        <v>0.06</v>
      </c>
      <c r="M51" s="1">
        <v>6.0000000000000001E-3</v>
      </c>
    </row>
    <row r="52" spans="1:13" x14ac:dyDescent="0.35">
      <c r="A52" s="2" t="s">
        <v>12</v>
      </c>
      <c r="B52" s="2" t="s">
        <v>200</v>
      </c>
      <c r="C52" s="2" t="s">
        <v>105</v>
      </c>
      <c r="D52" s="2" t="str">
        <f t="shared" si="0"/>
        <v>Pi Control V0 [R7]</v>
      </c>
      <c r="E52" s="2" t="s">
        <v>211</v>
      </c>
      <c r="F52" s="1">
        <v>1</v>
      </c>
      <c r="G52" s="2" t="s">
        <v>26</v>
      </c>
      <c r="H52" s="2" t="s">
        <v>212</v>
      </c>
      <c r="I52" s="2" t="s">
        <v>28</v>
      </c>
      <c r="J52" s="2" t="s">
        <v>18</v>
      </c>
      <c r="K52" s="2" t="s">
        <v>213</v>
      </c>
      <c r="L52" s="1">
        <v>0.1</v>
      </c>
      <c r="M52" s="1">
        <v>0.1</v>
      </c>
    </row>
    <row r="53" spans="1:13" x14ac:dyDescent="0.35">
      <c r="A53" s="2" t="s">
        <v>12</v>
      </c>
      <c r="B53" s="2" t="s">
        <v>200</v>
      </c>
      <c r="C53" s="2" t="s">
        <v>105</v>
      </c>
      <c r="D53" s="2" t="str">
        <f t="shared" si="0"/>
        <v>Pi Control V0 [R9, R11, R12, R26, R27, R28, R29, R30, R31, R32]</v>
      </c>
      <c r="E53" s="2" t="s">
        <v>214</v>
      </c>
      <c r="F53" s="1">
        <v>10</v>
      </c>
      <c r="G53" s="2" t="s">
        <v>215</v>
      </c>
      <c r="H53" s="2" t="s">
        <v>216</v>
      </c>
      <c r="I53" s="2" t="s">
        <v>28</v>
      </c>
      <c r="J53" s="2" t="s">
        <v>18</v>
      </c>
      <c r="K53" s="2" t="s">
        <v>217</v>
      </c>
      <c r="L53" s="1">
        <v>0.1</v>
      </c>
      <c r="M53" s="1">
        <v>0.01</v>
      </c>
    </row>
    <row r="54" spans="1:13" x14ac:dyDescent="0.35">
      <c r="A54" s="2" t="s">
        <v>12</v>
      </c>
      <c r="B54" s="2" t="s">
        <v>200</v>
      </c>
      <c r="C54" s="2" t="s">
        <v>105</v>
      </c>
      <c r="D54" s="2" t="str">
        <f t="shared" si="0"/>
        <v>Pi Control V0 [R13, R14, R34, R35]</v>
      </c>
      <c r="E54" s="2" t="s">
        <v>218</v>
      </c>
      <c r="F54" s="1">
        <v>4</v>
      </c>
      <c r="G54" s="2" t="s">
        <v>94</v>
      </c>
      <c r="H54" s="2" t="s">
        <v>219</v>
      </c>
      <c r="I54" s="2" t="s">
        <v>28</v>
      </c>
      <c r="J54" s="2" t="s">
        <v>18</v>
      </c>
      <c r="K54" s="2" t="s">
        <v>220</v>
      </c>
      <c r="L54" s="1">
        <v>1.4</v>
      </c>
      <c r="M54" s="1">
        <v>0.35</v>
      </c>
    </row>
    <row r="55" spans="1:13" x14ac:dyDescent="0.35">
      <c r="A55" s="2" t="s">
        <v>12</v>
      </c>
      <c r="B55" s="2" t="s">
        <v>200</v>
      </c>
      <c r="C55" s="2" t="s">
        <v>105</v>
      </c>
      <c r="D55" s="2" t="str">
        <f t="shared" si="0"/>
        <v>Pi Control V0 [R23, R25]</v>
      </c>
      <c r="E55" s="2" t="s">
        <v>221</v>
      </c>
      <c r="F55" s="1">
        <v>2</v>
      </c>
      <c r="G55" s="2" t="s">
        <v>26</v>
      </c>
      <c r="H55" s="2" t="s">
        <v>209</v>
      </c>
      <c r="I55" s="2" t="s">
        <v>28</v>
      </c>
      <c r="J55" s="2" t="s">
        <v>18</v>
      </c>
      <c r="K55" s="2" t="s">
        <v>222</v>
      </c>
      <c r="L55" s="1">
        <v>0.06</v>
      </c>
      <c r="M55" s="1">
        <v>6.0000000000000001E-3</v>
      </c>
    </row>
    <row r="56" spans="1:13" x14ac:dyDescent="0.35">
      <c r="A56" s="2" t="s">
        <v>12</v>
      </c>
      <c r="B56" s="2" t="s">
        <v>200</v>
      </c>
      <c r="C56" s="2" t="s">
        <v>105</v>
      </c>
      <c r="D56" s="2" t="str">
        <f t="shared" si="0"/>
        <v>Pi Control V0 [R24, R33, R38, R41, R42, R43, R44, R45, R48, R50, R52, R53]</v>
      </c>
      <c r="E56" s="2" t="s">
        <v>223</v>
      </c>
      <c r="F56" s="1">
        <v>12</v>
      </c>
      <c r="G56" s="2" t="s">
        <v>224</v>
      </c>
      <c r="H56" s="2" t="s">
        <v>225</v>
      </c>
      <c r="I56" s="2" t="s">
        <v>28</v>
      </c>
      <c r="J56" s="2" t="s">
        <v>18</v>
      </c>
      <c r="K56" s="2" t="s">
        <v>226</v>
      </c>
      <c r="L56" s="1">
        <v>0.33600000000000002</v>
      </c>
      <c r="M56" s="1">
        <v>2.8000000000000001E-2</v>
      </c>
    </row>
    <row r="57" spans="1:13" x14ac:dyDescent="0.35">
      <c r="A57" s="2" t="s">
        <v>12</v>
      </c>
      <c r="B57" s="2" t="s">
        <v>200</v>
      </c>
      <c r="C57" s="2" t="s">
        <v>105</v>
      </c>
      <c r="D57" s="2" t="str">
        <f t="shared" si="0"/>
        <v>Pi Control V0 [R36]</v>
      </c>
      <c r="E57" s="2" t="s">
        <v>227</v>
      </c>
      <c r="F57" s="1">
        <v>1</v>
      </c>
      <c r="G57" s="2" t="s">
        <v>228</v>
      </c>
      <c r="H57" s="2" t="s">
        <v>229</v>
      </c>
      <c r="I57" s="2" t="s">
        <v>87</v>
      </c>
      <c r="J57" s="2" t="s">
        <v>18</v>
      </c>
      <c r="K57" s="2" t="s">
        <v>230</v>
      </c>
      <c r="L57" s="1">
        <v>0.1</v>
      </c>
      <c r="M57" s="1">
        <v>0.1</v>
      </c>
    </row>
    <row r="58" spans="1:13" x14ac:dyDescent="0.35">
      <c r="A58" s="2" t="s">
        <v>12</v>
      </c>
      <c r="B58" s="2" t="s">
        <v>200</v>
      </c>
      <c r="C58" s="2" t="s">
        <v>105</v>
      </c>
      <c r="D58" s="2" t="str">
        <f t="shared" si="0"/>
        <v>Pi Control V0 [R51]</v>
      </c>
      <c r="E58" s="2" t="s">
        <v>231</v>
      </c>
      <c r="F58" s="1">
        <v>1</v>
      </c>
      <c r="G58" s="2" t="s">
        <v>26</v>
      </c>
      <c r="H58" s="2" t="s">
        <v>232</v>
      </c>
      <c r="I58" s="2" t="s">
        <v>28</v>
      </c>
      <c r="J58" s="2" t="s">
        <v>18</v>
      </c>
      <c r="K58" s="2" t="s">
        <v>233</v>
      </c>
      <c r="L58" s="1">
        <v>0.1</v>
      </c>
      <c r="M58" s="1">
        <v>0.1</v>
      </c>
    </row>
    <row r="59" spans="1:13" x14ac:dyDescent="0.35">
      <c r="A59" s="2" t="s">
        <v>12</v>
      </c>
      <c r="B59" s="2" t="s">
        <v>234</v>
      </c>
      <c r="C59" s="2" t="s">
        <v>235</v>
      </c>
      <c r="D59" s="2" t="str">
        <f t="shared" si="0"/>
        <v>Pi Control V0 [Radio1]</v>
      </c>
      <c r="E59" s="2" t="s">
        <v>236</v>
      </c>
      <c r="F59" s="1">
        <v>1</v>
      </c>
      <c r="G59" s="2" t="s">
        <v>237</v>
      </c>
      <c r="H59" s="2" t="s">
        <v>238</v>
      </c>
      <c r="I59" s="2" t="s">
        <v>28</v>
      </c>
      <c r="J59" s="2" t="s">
        <v>18</v>
      </c>
      <c r="K59" s="2" t="s">
        <v>239</v>
      </c>
      <c r="L59" s="1">
        <v>2.71</v>
      </c>
      <c r="M59" s="1">
        <v>2.71</v>
      </c>
    </row>
    <row r="60" spans="1:13" x14ac:dyDescent="0.35">
      <c r="A60" s="2" t="s">
        <v>12</v>
      </c>
      <c r="B60" s="2" t="s">
        <v>240</v>
      </c>
      <c r="C60" s="2" t="s">
        <v>12</v>
      </c>
      <c r="D60" s="2" t="str">
        <f t="shared" si="0"/>
        <v>Pi Control V0 [S1, S2]</v>
      </c>
      <c r="E60" s="2" t="s">
        <v>241</v>
      </c>
      <c r="F60" s="1">
        <v>2</v>
      </c>
      <c r="G60" s="2" t="s">
        <v>242</v>
      </c>
      <c r="H60" s="2" t="s">
        <v>243</v>
      </c>
      <c r="I60" s="2" t="s">
        <v>28</v>
      </c>
      <c r="J60" s="2" t="s">
        <v>18</v>
      </c>
      <c r="K60" s="2" t="s">
        <v>244</v>
      </c>
      <c r="L60" s="1">
        <v>1.2</v>
      </c>
      <c r="M60" s="1">
        <v>0.6</v>
      </c>
    </row>
    <row r="61" spans="1:13" x14ac:dyDescent="0.35">
      <c r="A61" s="2" t="s">
        <v>12</v>
      </c>
      <c r="B61" s="2" t="s">
        <v>245</v>
      </c>
      <c r="C61" s="2" t="s">
        <v>12</v>
      </c>
      <c r="D61" s="2" t="str">
        <f t="shared" si="0"/>
        <v>Pi Control V0 [S3]</v>
      </c>
      <c r="E61" s="2" t="s">
        <v>246</v>
      </c>
      <c r="F61" s="1">
        <v>1</v>
      </c>
      <c r="G61" s="2" t="s">
        <v>247</v>
      </c>
      <c r="H61" s="2" t="s">
        <v>248</v>
      </c>
      <c r="I61" s="2" t="s">
        <v>28</v>
      </c>
      <c r="J61" s="2" t="s">
        <v>18</v>
      </c>
      <c r="K61" s="2" t="s">
        <v>249</v>
      </c>
      <c r="L61" s="1">
        <v>1.67</v>
      </c>
      <c r="M61" s="1">
        <v>1.67</v>
      </c>
    </row>
    <row r="62" spans="1:13" x14ac:dyDescent="0.35">
      <c r="A62" s="2" t="s">
        <v>12</v>
      </c>
      <c r="B62" s="2" t="s">
        <v>250</v>
      </c>
      <c r="C62" s="2" t="s">
        <v>12</v>
      </c>
      <c r="D62" s="2" t="str">
        <f t="shared" si="0"/>
        <v>Pi Control V0 [U1]</v>
      </c>
      <c r="E62" s="2" t="s">
        <v>251</v>
      </c>
      <c r="F62" s="1">
        <v>1</v>
      </c>
      <c r="G62" s="2" t="s">
        <v>252</v>
      </c>
      <c r="H62" s="2" t="s">
        <v>250</v>
      </c>
      <c r="I62" s="2" t="s">
        <v>17</v>
      </c>
      <c r="J62" s="2" t="s">
        <v>18</v>
      </c>
      <c r="K62" s="2" t="s">
        <v>253</v>
      </c>
      <c r="L62" s="1"/>
      <c r="M62" s="1"/>
    </row>
    <row r="63" spans="1:13" x14ac:dyDescent="0.35">
      <c r="A63" s="2" t="s">
        <v>12</v>
      </c>
      <c r="B63" s="2" t="s">
        <v>254</v>
      </c>
      <c r="C63" s="2" t="s">
        <v>255</v>
      </c>
      <c r="D63" s="2" t="str">
        <f t="shared" si="0"/>
        <v>Pi Control V0 [U2]</v>
      </c>
      <c r="E63" s="2" t="s">
        <v>256</v>
      </c>
      <c r="F63" s="1">
        <v>1</v>
      </c>
      <c r="G63" s="2" t="s">
        <v>257</v>
      </c>
      <c r="H63" s="2" t="s">
        <v>255</v>
      </c>
      <c r="I63" s="2" t="s">
        <v>17</v>
      </c>
      <c r="J63" s="2" t="s">
        <v>18</v>
      </c>
      <c r="K63" s="2" t="s">
        <v>258</v>
      </c>
      <c r="L63" s="1">
        <v>2016</v>
      </c>
      <c r="M63" s="1">
        <v>2.02</v>
      </c>
    </row>
    <row r="64" spans="1:13" x14ac:dyDescent="0.35">
      <c r="A64" s="2" t="s">
        <v>12</v>
      </c>
      <c r="B64" s="2" t="s">
        <v>259</v>
      </c>
      <c r="C64" s="2" t="s">
        <v>259</v>
      </c>
      <c r="D64" s="2" t="str">
        <f t="shared" si="0"/>
        <v>Pi Control V0 [U3]</v>
      </c>
      <c r="E64" s="2" t="s">
        <v>260</v>
      </c>
      <c r="F64" s="1">
        <v>1</v>
      </c>
      <c r="G64" s="2" t="s">
        <v>261</v>
      </c>
      <c r="H64" s="2" t="s">
        <v>259</v>
      </c>
      <c r="I64" s="2" t="s">
        <v>28</v>
      </c>
      <c r="J64" s="2" t="s">
        <v>18</v>
      </c>
      <c r="K64" s="2" t="s">
        <v>262</v>
      </c>
      <c r="L64" s="1">
        <v>1.22</v>
      </c>
      <c r="M64" s="1">
        <v>1.22</v>
      </c>
    </row>
    <row r="65" spans="1:13" x14ac:dyDescent="0.35">
      <c r="A65" s="2" t="s">
        <v>12</v>
      </c>
      <c r="B65" s="2" t="s">
        <v>263</v>
      </c>
      <c r="C65" s="2" t="s">
        <v>264</v>
      </c>
      <c r="D65" s="2" t="str">
        <f t="shared" si="0"/>
        <v>Pi Control V0 [U4]</v>
      </c>
      <c r="E65" s="2" t="s">
        <v>265</v>
      </c>
      <c r="F65" s="1">
        <v>1</v>
      </c>
      <c r="G65" s="2" t="s">
        <v>266</v>
      </c>
      <c r="H65" s="2" t="s">
        <v>267</v>
      </c>
      <c r="I65" s="2" t="s">
        <v>17</v>
      </c>
      <c r="J65" s="2" t="s">
        <v>18</v>
      </c>
      <c r="K65" s="2" t="s">
        <v>268</v>
      </c>
      <c r="L65" s="1">
        <v>1</v>
      </c>
      <c r="M65" s="1">
        <v>1</v>
      </c>
    </row>
    <row r="66" spans="1:13" x14ac:dyDescent="0.35">
      <c r="A66" s="2" t="s">
        <v>12</v>
      </c>
      <c r="B66" s="2" t="s">
        <v>269</v>
      </c>
      <c r="C66" s="2" t="s">
        <v>12</v>
      </c>
      <c r="D66" s="2" t="str">
        <f t="shared" si="0"/>
        <v>Pi Control V0 [U5]</v>
      </c>
      <c r="E66" s="2" t="s">
        <v>270</v>
      </c>
      <c r="F66" s="1">
        <v>1</v>
      </c>
      <c r="G66" s="2" t="s">
        <v>271</v>
      </c>
      <c r="H66" s="2" t="s">
        <v>272</v>
      </c>
      <c r="I66" s="2" t="s">
        <v>28</v>
      </c>
      <c r="J66" s="2" t="s">
        <v>18</v>
      </c>
      <c r="K66" s="2" t="s">
        <v>273</v>
      </c>
      <c r="L66" s="1">
        <v>3.03</v>
      </c>
      <c r="M66" s="1">
        <v>3.03</v>
      </c>
    </row>
    <row r="67" spans="1:13" x14ac:dyDescent="0.35">
      <c r="A67" s="2" t="s">
        <v>12</v>
      </c>
      <c r="B67" s="2" t="s">
        <v>274</v>
      </c>
      <c r="C67" s="2" t="s">
        <v>275</v>
      </c>
      <c r="D67" s="2" t="str">
        <f t="shared" ref="D67:D79" si="1">"Pi Control V0 [" &amp; E67 &amp; "]"</f>
        <v>Pi Control V0 [U6, U9]</v>
      </c>
      <c r="E67" s="2" t="s">
        <v>276</v>
      </c>
      <c r="F67" s="1">
        <v>2</v>
      </c>
      <c r="G67" s="2" t="s">
        <v>277</v>
      </c>
      <c r="H67" s="2" t="s">
        <v>275</v>
      </c>
      <c r="I67" s="2" t="s">
        <v>17</v>
      </c>
      <c r="J67" s="2" t="s">
        <v>18</v>
      </c>
      <c r="K67" s="2" t="s">
        <v>278</v>
      </c>
      <c r="L67" s="1">
        <v>4.26</v>
      </c>
      <c r="M67" s="1">
        <v>2.13</v>
      </c>
    </row>
    <row r="68" spans="1:13" x14ac:dyDescent="0.35">
      <c r="A68" s="2" t="s">
        <v>12</v>
      </c>
      <c r="B68" s="2" t="s">
        <v>279</v>
      </c>
      <c r="C68" s="2" t="s">
        <v>280</v>
      </c>
      <c r="D68" s="2" t="str">
        <f t="shared" si="1"/>
        <v>Pi Control V0 [U7]</v>
      </c>
      <c r="E68" s="2" t="s">
        <v>281</v>
      </c>
      <c r="F68" s="1">
        <v>1</v>
      </c>
      <c r="G68" s="2" t="s">
        <v>271</v>
      </c>
      <c r="H68" s="2" t="s">
        <v>280</v>
      </c>
      <c r="I68" s="2" t="s">
        <v>28</v>
      </c>
      <c r="J68" s="2" t="s">
        <v>18</v>
      </c>
      <c r="K68" s="2" t="s">
        <v>282</v>
      </c>
      <c r="L68" s="1">
        <v>3.88</v>
      </c>
      <c r="M68" s="1">
        <v>3.88</v>
      </c>
    </row>
    <row r="69" spans="1:13" x14ac:dyDescent="0.35">
      <c r="A69" s="2" t="s">
        <v>12</v>
      </c>
      <c r="B69" s="2" t="s">
        <v>283</v>
      </c>
      <c r="C69" s="2" t="s">
        <v>284</v>
      </c>
      <c r="D69" s="2" t="str">
        <f t="shared" si="1"/>
        <v>Pi Control V0 [U8]</v>
      </c>
      <c r="E69" s="2" t="s">
        <v>285</v>
      </c>
      <c r="F69" s="1">
        <v>1</v>
      </c>
      <c r="G69" s="2" t="s">
        <v>271</v>
      </c>
      <c r="H69" s="2" t="s">
        <v>284</v>
      </c>
      <c r="I69" s="2" t="s">
        <v>28</v>
      </c>
      <c r="J69" s="2" t="s">
        <v>18</v>
      </c>
      <c r="K69" s="2" t="s">
        <v>286</v>
      </c>
      <c r="L69" s="1">
        <v>2.0499999999999998</v>
      </c>
      <c r="M69" s="1">
        <v>2.0499999999999998</v>
      </c>
    </row>
    <row r="70" spans="1:13" x14ac:dyDescent="0.35">
      <c r="A70" s="2" t="s">
        <v>12</v>
      </c>
      <c r="B70" s="2" t="s">
        <v>287</v>
      </c>
      <c r="C70" s="2" t="s">
        <v>288</v>
      </c>
      <c r="D70" s="2" t="str">
        <f t="shared" si="1"/>
        <v>Pi Control V0 [U10]</v>
      </c>
      <c r="E70" s="2" t="s">
        <v>289</v>
      </c>
      <c r="F70" s="1">
        <v>1</v>
      </c>
      <c r="G70" s="2" t="s">
        <v>290</v>
      </c>
      <c r="H70" s="2" t="s">
        <v>288</v>
      </c>
      <c r="I70" s="2" t="s">
        <v>28</v>
      </c>
      <c r="J70" s="2" t="s">
        <v>18</v>
      </c>
      <c r="K70" s="2" t="s">
        <v>291</v>
      </c>
      <c r="L70" s="1">
        <v>2.61</v>
      </c>
      <c r="M70" s="1">
        <v>2.61</v>
      </c>
    </row>
    <row r="71" spans="1:13" x14ac:dyDescent="0.35">
      <c r="A71" s="2" t="s">
        <v>12</v>
      </c>
      <c r="B71" s="2" t="s">
        <v>292</v>
      </c>
      <c r="C71" s="2" t="s">
        <v>293</v>
      </c>
      <c r="D71" s="2" t="str">
        <f t="shared" si="1"/>
        <v>Pi Control V0 [U11]</v>
      </c>
      <c r="E71" s="2" t="s">
        <v>294</v>
      </c>
      <c r="F71" s="1">
        <v>1</v>
      </c>
      <c r="G71" s="2" t="s">
        <v>271</v>
      </c>
      <c r="H71" s="2" t="s">
        <v>295</v>
      </c>
      <c r="I71" s="2" t="s">
        <v>28</v>
      </c>
      <c r="J71" s="2" t="s">
        <v>18</v>
      </c>
      <c r="K71" s="2" t="s">
        <v>296</v>
      </c>
      <c r="L71" s="1">
        <v>6</v>
      </c>
      <c r="M71" s="1">
        <v>6</v>
      </c>
    </row>
    <row r="72" spans="1:13" x14ac:dyDescent="0.35">
      <c r="A72" s="2" t="s">
        <v>12</v>
      </c>
      <c r="B72" s="2" t="s">
        <v>297</v>
      </c>
      <c r="C72" s="2" t="s">
        <v>298</v>
      </c>
      <c r="D72" s="2" t="str">
        <f t="shared" si="1"/>
        <v>Pi Control V0 [U12]</v>
      </c>
      <c r="E72" s="2" t="s">
        <v>299</v>
      </c>
      <c r="F72" s="1">
        <v>1</v>
      </c>
      <c r="G72" s="2" t="s">
        <v>271</v>
      </c>
      <c r="H72" s="2" t="s">
        <v>298</v>
      </c>
      <c r="I72" s="2" t="s">
        <v>28</v>
      </c>
      <c r="J72" s="2" t="s">
        <v>18</v>
      </c>
      <c r="K72" s="2" t="s">
        <v>300</v>
      </c>
      <c r="L72" s="1">
        <v>0.38</v>
      </c>
      <c r="M72" s="1">
        <v>0.38</v>
      </c>
    </row>
    <row r="73" spans="1:13" x14ac:dyDescent="0.35">
      <c r="A73" s="2" t="s">
        <v>12</v>
      </c>
      <c r="B73" s="2" t="s">
        <v>301</v>
      </c>
      <c r="C73" s="2" t="s">
        <v>12</v>
      </c>
      <c r="D73" s="2" t="str">
        <f t="shared" si="1"/>
        <v>Pi Control V0 [X1, X2]</v>
      </c>
      <c r="E73" s="2" t="s">
        <v>302</v>
      </c>
      <c r="F73" s="1">
        <v>2</v>
      </c>
      <c r="G73" s="2" t="s">
        <v>303</v>
      </c>
      <c r="H73" s="2" t="s">
        <v>304</v>
      </c>
      <c r="I73" s="2" t="s">
        <v>28</v>
      </c>
      <c r="J73" s="2" t="s">
        <v>18</v>
      </c>
      <c r="K73" s="2" t="s">
        <v>305</v>
      </c>
      <c r="L73" s="1">
        <v>4.2</v>
      </c>
      <c r="M73" s="1">
        <v>2.1</v>
      </c>
    </row>
    <row r="74" spans="1:13" x14ac:dyDescent="0.35">
      <c r="A74" s="2" t="s">
        <v>12</v>
      </c>
      <c r="B74" s="2" t="s">
        <v>306</v>
      </c>
      <c r="C74" s="2" t="s">
        <v>12</v>
      </c>
      <c r="D74" s="2" t="str">
        <f t="shared" si="1"/>
        <v>Pi Control V0 [X3, X4, X5, X7]</v>
      </c>
      <c r="E74" s="2" t="s">
        <v>307</v>
      </c>
      <c r="F74" s="1">
        <v>4</v>
      </c>
      <c r="G74" s="2" t="s">
        <v>308</v>
      </c>
      <c r="H74" s="2" t="s">
        <v>309</v>
      </c>
      <c r="I74" s="2" t="s">
        <v>28</v>
      </c>
      <c r="J74" s="2" t="s">
        <v>18</v>
      </c>
      <c r="K74" s="2" t="s">
        <v>310</v>
      </c>
      <c r="L74" s="1">
        <v>7.96</v>
      </c>
      <c r="M74" s="1">
        <v>1.99</v>
      </c>
    </row>
    <row r="75" spans="1:13" x14ac:dyDescent="0.35">
      <c r="A75" s="2" t="s">
        <v>12</v>
      </c>
      <c r="B75" s="2" t="s">
        <v>311</v>
      </c>
      <c r="C75" s="2" t="s">
        <v>12</v>
      </c>
      <c r="D75" s="2" t="str">
        <f t="shared" si="1"/>
        <v>Pi Control V0 [X6]</v>
      </c>
      <c r="E75" s="2" t="s">
        <v>312</v>
      </c>
      <c r="F75" s="1">
        <v>1</v>
      </c>
      <c r="G75" s="2" t="s">
        <v>313</v>
      </c>
      <c r="H75" s="2" t="s">
        <v>314</v>
      </c>
      <c r="I75" s="2" t="s">
        <v>28</v>
      </c>
      <c r="J75" s="2" t="s">
        <v>18</v>
      </c>
      <c r="K75" s="2" t="s">
        <v>315</v>
      </c>
      <c r="L75" s="1">
        <v>0.4</v>
      </c>
      <c r="M75" s="1">
        <v>0.4</v>
      </c>
    </row>
    <row r="76" spans="1:13" x14ac:dyDescent="0.35">
      <c r="A76" s="2" t="s">
        <v>12</v>
      </c>
      <c r="B76" s="2" t="s">
        <v>316</v>
      </c>
      <c r="C76" s="2" t="s">
        <v>317</v>
      </c>
      <c r="D76" s="2" t="str">
        <f t="shared" si="1"/>
        <v>Pi Control V0 [Y1]</v>
      </c>
      <c r="E76" s="2" t="s">
        <v>318</v>
      </c>
      <c r="F76" s="1">
        <v>1</v>
      </c>
      <c r="G76" s="2" t="s">
        <v>74</v>
      </c>
      <c r="H76" s="2" t="s">
        <v>317</v>
      </c>
      <c r="I76" s="2" t="s">
        <v>17</v>
      </c>
      <c r="J76" s="2" t="s">
        <v>18</v>
      </c>
      <c r="K76" s="2" t="s">
        <v>319</v>
      </c>
      <c r="L76" s="1">
        <v>0.84</v>
      </c>
      <c r="M76" s="1">
        <v>0.84</v>
      </c>
    </row>
    <row r="77" spans="1:13" x14ac:dyDescent="0.35">
      <c r="A77" s="2" t="s">
        <v>12</v>
      </c>
      <c r="B77" s="2" t="s">
        <v>320</v>
      </c>
      <c r="C77" s="2" t="s">
        <v>321</v>
      </c>
      <c r="D77" s="2" t="str">
        <f t="shared" si="1"/>
        <v>Pi Control V0 [Y2]</v>
      </c>
      <c r="E77" s="2" t="s">
        <v>322</v>
      </c>
      <c r="F77" s="1">
        <v>1</v>
      </c>
      <c r="G77" s="2" t="s">
        <v>323</v>
      </c>
      <c r="H77" s="2" t="s">
        <v>321</v>
      </c>
      <c r="I77" s="2" t="s">
        <v>28</v>
      </c>
      <c r="J77" s="2" t="s">
        <v>18</v>
      </c>
      <c r="K77" s="2" t="s">
        <v>324</v>
      </c>
      <c r="L77" s="1">
        <v>0.31</v>
      </c>
      <c r="M77" s="1">
        <v>0.31</v>
      </c>
    </row>
    <row r="78" spans="1:13" x14ac:dyDescent="0.35">
      <c r="A78" s="2" t="s">
        <v>12</v>
      </c>
      <c r="B78" s="2" t="s">
        <v>325</v>
      </c>
      <c r="C78" s="2" t="s">
        <v>326</v>
      </c>
      <c r="D78" s="2" t="str">
        <f t="shared" si="1"/>
        <v>Pi Control V0 [Y3]</v>
      </c>
      <c r="E78" s="2" t="s">
        <v>327</v>
      </c>
      <c r="F78" s="1">
        <v>1</v>
      </c>
      <c r="G78" s="2" t="s">
        <v>323</v>
      </c>
      <c r="H78" s="2" t="s">
        <v>328</v>
      </c>
      <c r="I78" s="2" t="s">
        <v>28</v>
      </c>
      <c r="J78" s="2" t="s">
        <v>18</v>
      </c>
      <c r="K78" s="2" t="s">
        <v>329</v>
      </c>
      <c r="L78" s="1">
        <v>0.66</v>
      </c>
      <c r="M78" s="1">
        <v>0.66</v>
      </c>
    </row>
    <row r="79" spans="1:13" x14ac:dyDescent="0.35">
      <c r="A79" s="2" t="s">
        <v>12</v>
      </c>
      <c r="B79" s="2" t="s">
        <v>330</v>
      </c>
      <c r="C79" s="2" t="s">
        <v>331</v>
      </c>
      <c r="D79" s="2" t="str">
        <f t="shared" si="1"/>
        <v>Pi Control V0 [Y4]</v>
      </c>
      <c r="E79" s="2" t="s">
        <v>332</v>
      </c>
      <c r="F79" s="1">
        <v>1</v>
      </c>
      <c r="G79" s="2" t="s">
        <v>333</v>
      </c>
      <c r="H79" s="2" t="s">
        <v>331</v>
      </c>
      <c r="I79" s="2" t="s">
        <v>28</v>
      </c>
      <c r="J79" s="2" t="s">
        <v>18</v>
      </c>
      <c r="K79" s="2" t="s">
        <v>334</v>
      </c>
      <c r="L79" s="1">
        <v>1.43</v>
      </c>
      <c r="M79" s="1">
        <v>1.43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 Control Board V0 BOM</vt:lpstr>
      <vt:lpstr>'Pi Control Board V0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2025-12-05T02:10:12Z</dcterms:created>
  <dcterms:modified xsi:type="dcterms:W3CDTF">2025-12-05T02:41:05Z</dcterms:modified>
</cp:coreProperties>
</file>