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666c1b81e9ee1c/Documents/7-MIL/TerraGator/ToF-Level-Shifter/ToF-Level-Shifter-Breakout/Project Outputs for ToF-Level-Shifter-Breakout/"/>
    </mc:Choice>
  </mc:AlternateContent>
  <xr:revisionPtr revIDLastSave="57" documentId="8_{1E400263-DF11-4414-807B-EB0F8EA4B767}" xr6:coauthVersionLast="47" xr6:coauthVersionMax="47" xr10:uidLastSave="{2425AAFD-D3F3-4D19-BA91-8727CA56AEE3}"/>
  <bookViews>
    <workbookView xWindow="14295" yWindow="0" windowWidth="14610" windowHeight="15585" xr2:uid="{C6DABDF9-7E0B-405D-9756-3AE45227B330}"/>
  </bookViews>
  <sheets>
    <sheet name="ToF-Level-Shifter-Breakout-BOM" sheetId="1" r:id="rId1"/>
  </sheets>
  <definedNames>
    <definedName name="_xlnm.Print_Titles" localSheetId="0">'ToF-Level-Shifter-Breakout-BOM'!$1:$1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<sst xmlns="http://schemas.openxmlformats.org/spreadsheetml/2006/main" count="68" uniqueCount="51">
  <si>
    <t>Comment</t>
  </si>
  <si>
    <t>Description</t>
  </si>
  <si>
    <t>Designator</t>
  </si>
  <si>
    <t>Footprint</t>
  </si>
  <si>
    <t>LibRef</t>
  </si>
  <si>
    <t>Quantity</t>
  </si>
  <si>
    <t>Cap</t>
  </si>
  <si>
    <t>CAPC0603</t>
  </si>
  <si>
    <t>1x4 0.1in Header</t>
  </si>
  <si>
    <t>P1</t>
  </si>
  <si>
    <t>Header 7</t>
  </si>
  <si>
    <t>Header, 7-Pin</t>
  </si>
  <si>
    <t>P2</t>
  </si>
  <si>
    <t>HDR1X7</t>
  </si>
  <si>
    <t>Res</t>
  </si>
  <si>
    <t>RES0603</t>
  </si>
  <si>
    <t>ADPL40502AUJZ-1.8-R7</t>
  </si>
  <si>
    <t>Low Noise, 200mA, CMOS Linear Regulator (LDO)</t>
  </si>
  <si>
    <t>U1</t>
  </si>
  <si>
    <t>TSOT-23-5_UJ-5_ADI</t>
  </si>
  <si>
    <t>PCA9306DCTR</t>
  </si>
  <si>
    <t>2-bit bidirectional 400-kHz I2C/SMBus voltage level translator</t>
  </si>
  <si>
    <t>U2</t>
  </si>
  <si>
    <t>SOP65P400X130-8N</t>
  </si>
  <si>
    <t>VL53L1CXV0FY/1</t>
  </si>
  <si>
    <t>ToF Optical Sensor 157.480 (4m) I²C Output from STMelectronics</t>
  </si>
  <si>
    <t>U3</t>
  </si>
  <si>
    <t>LGA-12 (VL53L1CXV0FY/1)</t>
  </si>
  <si>
    <t>300kohm RES 0603</t>
  </si>
  <si>
    <t>200kohm RES 0603</t>
  </si>
  <si>
    <t>C4</t>
  </si>
  <si>
    <t>R3, R4, R5, R6, R7</t>
  </si>
  <si>
    <t>R2</t>
  </si>
  <si>
    <t>R1</t>
  </si>
  <si>
    <t>C1, C2, C3</t>
  </si>
  <si>
    <t>DigiKey link</t>
  </si>
  <si>
    <t>https://www.digikey.com/en/products/detail/samsung-electro-mechanics/CL10A475KO8NNNC/3887442</t>
  </si>
  <si>
    <t>https://www.digikey.com/en/products/detail/samsung-electro-mechanics/CL10F104ZB8NNNC/3886670</t>
  </si>
  <si>
    <t>Just use a standard 2.54mm pitch header</t>
  </si>
  <si>
    <t>^</t>
  </si>
  <si>
    <t>https://www.digikey.com/en/products/detail/rohm-semiconductor/ESR03EZPJ304/4051237</t>
  </si>
  <si>
    <t>https://www.digikey.com/en/products/detail/rohm-semiconductor/ESR03EZPJ204/4051216</t>
  </si>
  <si>
    <t>10kohm RES0603</t>
  </si>
  <si>
    <t>4.7uF 0603 ceramic cap</t>
  </si>
  <si>
    <t>0.1uF 0603 ceramic cap</t>
  </si>
  <si>
    <t>https://www.digikey.com/en/products/detail/rohm-semiconductor/ESR03EZPF1002/1983429</t>
  </si>
  <si>
    <t>https://www.digikey.com/en/products/detail/analog-devices-inc/ADPL40502AUJZ-1-8-R7/26262777</t>
  </si>
  <si>
    <t>https://www.digikey.com/en/products/detail/texas-instruments/PCA9306DCTR/809792</t>
  </si>
  <si>
    <r>
      <rPr>
        <b/>
        <sz val="11"/>
        <color theme="1"/>
        <rFont val="Aptos Narrow"/>
        <family val="2"/>
        <scheme val="minor"/>
      </rPr>
      <t xml:space="preserve">DigiKey Link: </t>
    </r>
    <r>
      <rPr>
        <sz val="11"/>
        <color theme="1"/>
        <rFont val="Aptos Narrow"/>
        <family val="2"/>
        <scheme val="minor"/>
      </rPr>
      <t>https://www.digikey.com/en/mylists/list/5HL9NZVCED</t>
    </r>
  </si>
  <si>
    <r>
      <t xml:space="preserve">Collaborator PW: </t>
    </r>
    <r>
      <rPr>
        <sz val="11"/>
        <color theme="1"/>
        <rFont val="Aptos Narrow"/>
        <family val="2"/>
        <scheme val="minor"/>
      </rPr>
      <t>MIL2025!</t>
    </r>
  </si>
  <si>
    <t>Use ones that have already been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</si>
</sst>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2" fillId="0" borderId="1" xfId="1" applyBorder="1"/>
    <xf numFmtId="0" fontId="0" fillId="0" borderId="2" xfId="0" applyFill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texas-instruments/PCA9306DCTR/8097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A1D7-CA40-413A-95E6-C09B2966DB09}">
  <dimension ref="A1:H13"/>
  <sheetViews>
    <sheetView tabSelected="1" workbookViewId="0">
      <selection activeCell="E19" sqref="E19"/>
    </sheetView>
  </sheetViews>
  <sheetFormatPr defaultRowHeight="15" x14ac:dyDescent="0.25"/>
  <cols>
    <col min="1" max="6" width="19.710937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35</v>
      </c>
    </row>
    <row r="2" spans="1:8" s="4" customFormat="1" x14ac:dyDescent="0.25">
      <c r="A2" s="1" t="s">
        <v>6</v>
      </c>
      <c r="B2" s="1" t="s">
        <v>43</v>
      </c>
      <c r="C2" s="1" t="s">
        <v>30</v>
      </c>
      <c r="D2" s="1" t="s">
        <v>7</v>
      </c>
      <c r="E2" s="1" t="s">
        <v>6</v>
      </c>
      <c r="F2" s="1">
        <v>1</v>
      </c>
      <c r="G2" s="1" t="s">
        <v>36</v>
      </c>
      <c r="H2"/>
    </row>
    <row r="3" spans="1:8" x14ac:dyDescent="0.25">
      <c r="A3" s="2" t="s">
        <v>6</v>
      </c>
      <c r="B3" s="2" t="s">
        <v>44</v>
      </c>
      <c r="C3" s="2" t="s">
        <v>34</v>
      </c>
      <c r="D3" s="2" t="s">
        <v>7</v>
      </c>
      <c r="E3" s="2" t="s">
        <v>6</v>
      </c>
      <c r="F3" s="1">
        <v>3</v>
      </c>
      <c r="G3" s="1" t="s">
        <v>37</v>
      </c>
    </row>
    <row r="4" spans="1:8" x14ac:dyDescent="0.25">
      <c r="A4" s="2" t="s">
        <v>8</v>
      </c>
      <c r="B4" s="1"/>
      <c r="C4" s="2" t="s">
        <v>9</v>
      </c>
      <c r="D4" s="2" t="s">
        <v>8</v>
      </c>
      <c r="E4" s="2" t="s">
        <v>8</v>
      </c>
      <c r="F4" s="1">
        <v>0</v>
      </c>
      <c r="G4" s="1" t="s">
        <v>38</v>
      </c>
    </row>
    <row r="5" spans="1:8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10</v>
      </c>
      <c r="F5" s="1">
        <v>0</v>
      </c>
      <c r="G5" s="1" t="s">
        <v>39</v>
      </c>
    </row>
    <row r="6" spans="1:8" x14ac:dyDescent="0.25">
      <c r="A6" s="2" t="s">
        <v>14</v>
      </c>
      <c r="B6" s="2" t="s">
        <v>28</v>
      </c>
      <c r="C6" s="2" t="s">
        <v>32</v>
      </c>
      <c r="D6" s="2" t="s">
        <v>15</v>
      </c>
      <c r="E6" s="2" t="s">
        <v>14</v>
      </c>
      <c r="F6" s="1">
        <v>1</v>
      </c>
      <c r="G6" s="1" t="s">
        <v>40</v>
      </c>
    </row>
    <row r="7" spans="1:8" x14ac:dyDescent="0.25">
      <c r="A7" s="2" t="s">
        <v>14</v>
      </c>
      <c r="B7" s="2" t="s">
        <v>29</v>
      </c>
      <c r="C7" s="2" t="s">
        <v>33</v>
      </c>
      <c r="D7" s="2" t="s">
        <v>15</v>
      </c>
      <c r="E7" s="2" t="s">
        <v>14</v>
      </c>
      <c r="F7" s="1">
        <v>1</v>
      </c>
      <c r="G7" s="1" t="s">
        <v>41</v>
      </c>
    </row>
    <row r="8" spans="1:8" x14ac:dyDescent="0.25">
      <c r="A8" s="2" t="s">
        <v>14</v>
      </c>
      <c r="B8" s="2" t="s">
        <v>42</v>
      </c>
      <c r="C8" s="2" t="s">
        <v>31</v>
      </c>
      <c r="D8" s="2" t="s">
        <v>15</v>
      </c>
      <c r="E8" s="2" t="s">
        <v>14</v>
      </c>
      <c r="F8" s="1">
        <v>5</v>
      </c>
      <c r="G8" s="1" t="s">
        <v>45</v>
      </c>
    </row>
    <row r="9" spans="1:8" x14ac:dyDescent="0.25">
      <c r="A9" s="2" t="s">
        <v>16</v>
      </c>
      <c r="B9" s="2" t="s">
        <v>17</v>
      </c>
      <c r="C9" s="2" t="s">
        <v>18</v>
      </c>
      <c r="D9" s="2" t="s">
        <v>19</v>
      </c>
      <c r="E9" s="2" t="s">
        <v>16</v>
      </c>
      <c r="F9" s="1">
        <v>1</v>
      </c>
      <c r="G9" s="1" t="s">
        <v>46</v>
      </c>
    </row>
    <row r="10" spans="1:8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20</v>
      </c>
      <c r="F10" s="1">
        <v>1</v>
      </c>
      <c r="G10" s="5" t="s">
        <v>47</v>
      </c>
    </row>
    <row r="11" spans="1:8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24</v>
      </c>
      <c r="F11" s="1">
        <v>0</v>
      </c>
      <c r="G11" s="1" t="s">
        <v>50</v>
      </c>
    </row>
    <row r="12" spans="1:8" x14ac:dyDescent="0.25">
      <c r="A12" s="6" t="s">
        <v>48</v>
      </c>
      <c r="F12">
        <f>SUM(F2:F11)</f>
        <v>13</v>
      </c>
    </row>
    <row r="13" spans="1:8" x14ac:dyDescent="0.25">
      <c r="A13" s="7" t="s">
        <v>49</v>
      </c>
    </row>
  </sheetData>
  <hyperlinks>
    <hyperlink ref="G10" r:id="rId1" xr:uid="{89C588F5-DDB5-4B87-AB54-AD5129E93E8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ToF-Level-Shifter-Breakout-BOM</vt:lpstr>
      <vt:lpstr>'ToF-Level-Shifter-Breakout-BOM'!Print_Titles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Shepler</dc:creator>
  <cp:lastModifiedBy>Aiden Shepler</cp:lastModifiedBy>
  <dcterms:created xsi:type="dcterms:W3CDTF">2025-11-24T00:53:12Z</dcterms:created>
  <dcterms:modified xsi:type="dcterms:W3CDTF">2025-11-24T01:08:57Z</dcterms:modified>
</cp:coreProperties>
</file>