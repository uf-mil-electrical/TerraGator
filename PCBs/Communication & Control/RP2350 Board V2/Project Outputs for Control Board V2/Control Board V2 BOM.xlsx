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TerraGator\PCBs\RP2350 Board V2\Project Outputs for Control Board V2\"/>
    </mc:Choice>
  </mc:AlternateContent>
  <xr:revisionPtr revIDLastSave="0" documentId="8_{097FEAEB-27E5-493B-A745-B39347CD24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I27" i="1"/>
</calcChain>
</file>

<file path=xl/sharedStrings.xml><?xml version="1.0" encoding="utf-8"?>
<sst xmlns="http://schemas.openxmlformats.org/spreadsheetml/2006/main" count="100" uniqueCount="83">
  <si>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</si>
  <si>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</si>
  <si>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</si>
  <si>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</si>
  <si>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</si>
  <si>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</si>
  <si>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</si>
  <si>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</si>
  <si>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</si>
  <si>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</si>
  <si>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</si>
  <si>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Control Board V2.PrjPcb</t>
  </si>
  <si>
    <t>DesignItemId</t>
  </si>
  <si>
    <t>[LED] SMD 0805 Green</t>
  </si>
  <si>
    <t>[LED] SMD 0805 Yellow</t>
  </si>
  <si>
    <t>[LED] SMD 0805 Red</t>
  </si>
  <si>
    <t>[LED] SMD 0805 Blue</t>
  </si>
  <si>
    <t>[Header] Shrouded 2x5 Male</t>
  </si>
  <si>
    <t>[Header] Shrouded 1x3 Male</t>
  </si>
  <si>
    <t>[Header] Shrouded 1x2 Male</t>
  </si>
  <si>
    <t>[Header] Shrouded 1x6 Male</t>
  </si>
  <si>
    <t>[Ferrite] SMD 0805 3A 30ohm</t>
  </si>
  <si>
    <t>[220] SMD 0603 1% 1/10W</t>
  </si>
  <si>
    <t>[1k] SMD 0603 1% 1/10W</t>
  </si>
  <si>
    <t>[Level Shifter] MC14504BDTR2G Breakout</t>
  </si>
  <si>
    <t>[Pi] RP2350B Breakout</t>
  </si>
  <si>
    <t>[Screw Terminal] 3pin</t>
  </si>
  <si>
    <t>D1</t>
  </si>
  <si>
    <t>D2</t>
  </si>
  <si>
    <t>D3</t>
  </si>
  <si>
    <t>D4, D5</t>
  </si>
  <si>
    <t>H1, H2, H3</t>
  </si>
  <si>
    <t>H4, H5, H6, H7, H8, H9, H10, H12, H13, H14</t>
  </si>
  <si>
    <t>H11</t>
  </si>
  <si>
    <t>H15</t>
  </si>
  <si>
    <t>L1</t>
  </si>
  <si>
    <t>R1, R2, R3</t>
  </si>
  <si>
    <t>R4, R5</t>
  </si>
  <si>
    <t>X1</t>
  </si>
  <si>
    <t>X2</t>
  </si>
  <si>
    <t>X4</t>
  </si>
  <si>
    <t>Manufacturer 1</t>
  </si>
  <si>
    <t>Osram Opto</t>
  </si>
  <si>
    <t>Osram</t>
  </si>
  <si>
    <t>Wurth Elektronik</t>
  </si>
  <si>
    <t>Adam Tech</t>
  </si>
  <si>
    <t>Molex</t>
  </si>
  <si>
    <t>Bourns</t>
  </si>
  <si>
    <t>TE Connectivity</t>
  </si>
  <si>
    <t>Stackpole Electronics</t>
  </si>
  <si>
    <t>onsemi</t>
  </si>
  <si>
    <t>Same Sky</t>
  </si>
  <si>
    <t>Manufacturer Part Number 1</t>
  </si>
  <si>
    <t>LG R971-KN-1-0-20-R18</t>
  </si>
  <si>
    <t>LY R976-PS-36-0-20-R18</t>
  </si>
  <si>
    <t>LS R976-NR-1-0-20-R18</t>
  </si>
  <si>
    <t>150080BS75000</t>
  </si>
  <si>
    <t>BHR-10-VUA</t>
  </si>
  <si>
    <t>70543-0037</t>
  </si>
  <si>
    <t>70543-0036</t>
  </si>
  <si>
    <t>70543-0005</t>
  </si>
  <si>
    <t>MH2029-300Y</t>
  </si>
  <si>
    <t>CRGCQ0805F220R</t>
  </si>
  <si>
    <t>RMCF0603FT1K00</t>
  </si>
  <si>
    <t>MC14504BDTR2G</t>
  </si>
  <si>
    <t>TB003-500-P03BE</t>
  </si>
  <si>
    <t>Supplier 1</t>
  </si>
  <si>
    <t>DigiKey</t>
  </si>
  <si>
    <t>Supplier Part Number 1</t>
  </si>
  <si>
    <t>475-LGR971-KN-1CT-ND</t>
  </si>
  <si>
    <t>475-LYR976-PS-36-0-20-R18CT-ND</t>
  </si>
  <si>
    <t>475-LSR976-NR-1CT-ND</t>
  </si>
  <si>
    <t>732-4982-1-ND</t>
  </si>
  <si>
    <t>2057-BHR-10-VUA-ND</t>
  </si>
  <si>
    <t>WM4825-ND</t>
  </si>
  <si>
    <t>WM4824-ND</t>
  </si>
  <si>
    <t>WM4804-ND</t>
  </si>
  <si>
    <t>MH2029-300YCT-ND</t>
  </si>
  <si>
    <t>A129741CT-ND</t>
  </si>
  <si>
    <t>RMCF0603FT1K00DKR-ND</t>
  </si>
  <si>
    <t>MC14504BDTR2GOSCT-ND</t>
  </si>
  <si>
    <t>102-6162-ND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</si>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</sst>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41</v>
      </c>
      <c r="E12" s="7" t="s">
        <v>52</v>
      </c>
      <c r="F12" s="7" t="s">
        <v>66</v>
      </c>
      <c r="G12" s="7" t="s">
        <v>68</v>
      </c>
      <c r="H12" s="7" t="s">
        <v>82</v>
      </c>
      <c r="I12" s="8" t="s">
        <v>8</v>
      </c>
      <c r="J12" s="3"/>
    </row>
    <row r="13" spans="1:10" x14ac:dyDescent="0.35">
      <c r="B13" s="20" t="s">
        <v>13</v>
      </c>
      <c r="C13" s="16" t="s">
        <v>27</v>
      </c>
      <c r="D13" s="17" t="s">
        <v>42</v>
      </c>
      <c r="E13" s="17" t="s">
        <v>53</v>
      </c>
      <c r="F13" s="17" t="s">
        <v>67</v>
      </c>
      <c r="G13" s="17" t="s">
        <v>69</v>
      </c>
      <c r="H13" s="11">
        <v>0.15</v>
      </c>
      <c r="I13" s="9">
        <v>1</v>
      </c>
      <c r="J13" s="3"/>
    </row>
    <row r="14" spans="1:10" ht="24.5" x14ac:dyDescent="0.35">
      <c r="B14" s="20" t="s">
        <v>14</v>
      </c>
      <c r="C14" s="16" t="s">
        <v>28</v>
      </c>
      <c r="D14" s="17" t="s">
        <v>43</v>
      </c>
      <c r="E14" s="17" t="s">
        <v>54</v>
      </c>
      <c r="F14" s="17" t="s">
        <v>67</v>
      </c>
      <c r="G14" s="17" t="s">
        <v>70</v>
      </c>
      <c r="H14" s="11">
        <v>0.15</v>
      </c>
      <c r="I14" s="9">
        <v>1</v>
      </c>
      <c r="J14" s="3"/>
    </row>
    <row r="15" spans="1:10" x14ac:dyDescent="0.35">
      <c r="B15" s="20" t="s">
        <v>15</v>
      </c>
      <c r="C15" s="16" t="s">
        <v>29</v>
      </c>
      <c r="D15" s="17" t="s">
        <v>42</v>
      </c>
      <c r="E15" s="17" t="s">
        <v>55</v>
      </c>
      <c r="F15" s="17" t="s">
        <v>67</v>
      </c>
      <c r="G15" s="17" t="s">
        <v>71</v>
      </c>
      <c r="H15" s="11">
        <v>0.15</v>
      </c>
      <c r="I15" s="9">
        <v>1</v>
      </c>
      <c r="J15" s="3"/>
    </row>
    <row r="16" spans="1:10" x14ac:dyDescent="0.35">
      <c r="B16" s="20" t="s">
        <v>16</v>
      </c>
      <c r="C16" s="16" t="s">
        <v>30</v>
      </c>
      <c r="D16" s="17" t="s">
        <v>44</v>
      </c>
      <c r="E16" s="17" t="s">
        <v>56</v>
      </c>
      <c r="F16" s="17" t="s">
        <v>67</v>
      </c>
      <c r="G16" s="17" t="s">
        <v>72</v>
      </c>
      <c r="H16" s="11">
        <v>0.19</v>
      </c>
      <c r="I16" s="9">
        <v>2</v>
      </c>
      <c r="J16" s="3"/>
    </row>
    <row r="17" spans="2:10" x14ac:dyDescent="0.35">
      <c r="B17" s="20" t="s">
        <v>17</v>
      </c>
      <c r="C17" s="16" t="s">
        <v>31</v>
      </c>
      <c r="D17" s="17" t="s">
        <v>45</v>
      </c>
      <c r="E17" s="17" t="s">
        <v>57</v>
      </c>
      <c r="F17" s="17" t="s">
        <v>67</v>
      </c>
      <c r="G17" s="17" t="s">
        <v>73</v>
      </c>
      <c r="H17" s="11">
        <v>0.28000000000000003</v>
      </c>
      <c r="I17" s="9">
        <v>3</v>
      </c>
      <c r="J17" s="3"/>
    </row>
    <row r="18" spans="2:10" ht="29" x14ac:dyDescent="0.35">
      <c r="B18" s="20" t="s">
        <v>18</v>
      </c>
      <c r="C18" s="16" t="s">
        <v>32</v>
      </c>
      <c r="D18" s="17" t="s">
        <v>46</v>
      </c>
      <c r="E18" s="17" t="s">
        <v>58</v>
      </c>
      <c r="F18" s="17" t="s">
        <v>67</v>
      </c>
      <c r="G18" s="17" t="s">
        <v>74</v>
      </c>
      <c r="H18" s="11">
        <v>0.78</v>
      </c>
      <c r="I18" s="9">
        <v>10</v>
      </c>
      <c r="J18" s="3"/>
    </row>
    <row r="19" spans="2:10" x14ac:dyDescent="0.35">
      <c r="B19" s="20" t="s">
        <v>19</v>
      </c>
      <c r="C19" s="16" t="s">
        <v>33</v>
      </c>
      <c r="D19" s="17" t="s">
        <v>46</v>
      </c>
      <c r="E19" s="17" t="s">
        <v>59</v>
      </c>
      <c r="F19" s="17" t="s">
        <v>67</v>
      </c>
      <c r="G19" s="17" t="s">
        <v>75</v>
      </c>
      <c r="H19" s="11">
        <v>0.92</v>
      </c>
      <c r="I19" s="9">
        <v>1</v>
      </c>
      <c r="J19" s="3"/>
    </row>
    <row r="20" spans="2:10" x14ac:dyDescent="0.35">
      <c r="B20" s="20" t="s">
        <v>20</v>
      </c>
      <c r="C20" s="16" t="s">
        <v>34</v>
      </c>
      <c r="D20" s="17" t="s">
        <v>46</v>
      </c>
      <c r="E20" s="17" t="s">
        <v>60</v>
      </c>
      <c r="F20" s="17" t="s">
        <v>67</v>
      </c>
      <c r="G20" s="17" t="s">
        <v>76</v>
      </c>
      <c r="H20" s="11">
        <v>1.1499999999999999</v>
      </c>
      <c r="I20" s="9">
        <v>1</v>
      </c>
      <c r="J20" s="3"/>
    </row>
    <row r="21" spans="2:10" x14ac:dyDescent="0.35">
      <c r="B21" s="20" t="s">
        <v>21</v>
      </c>
      <c r="C21" s="16" t="s">
        <v>35</v>
      </c>
      <c r="D21" s="17" t="s">
        <v>47</v>
      </c>
      <c r="E21" s="17" t="s">
        <v>61</v>
      </c>
      <c r="F21" s="17" t="s">
        <v>67</v>
      </c>
      <c r="G21" s="17" t="s">
        <v>77</v>
      </c>
      <c r="H21" s="11">
        <v>0.1</v>
      </c>
      <c r="I21" s="9">
        <v>1</v>
      </c>
      <c r="J21" s="3"/>
    </row>
    <row r="22" spans="2:10" x14ac:dyDescent="0.35">
      <c r="B22" s="20" t="s">
        <v>22</v>
      </c>
      <c r="C22" s="16" t="s">
        <v>36</v>
      </c>
      <c r="D22" s="17" t="s">
        <v>48</v>
      </c>
      <c r="E22" s="17" t="s">
        <v>62</v>
      </c>
      <c r="F22" s="17" t="s">
        <v>67</v>
      </c>
      <c r="G22" s="17" t="s">
        <v>78</v>
      </c>
      <c r="H22" s="11">
        <v>0.14000000000000001</v>
      </c>
      <c r="I22" s="9">
        <v>3</v>
      </c>
      <c r="J22" s="3"/>
    </row>
    <row r="23" spans="2:10" x14ac:dyDescent="0.35">
      <c r="B23" s="20" t="s">
        <v>23</v>
      </c>
      <c r="C23" s="16" t="s">
        <v>37</v>
      </c>
      <c r="D23" s="17" t="s">
        <v>49</v>
      </c>
      <c r="E23" s="17" t="s">
        <v>63</v>
      </c>
      <c r="F23" s="17" t="s">
        <v>67</v>
      </c>
      <c r="G23" s="17" t="s">
        <v>79</v>
      </c>
      <c r="H23" s="11">
        <v>6.0000000000000001E-3</v>
      </c>
      <c r="I23" s="9">
        <v>2</v>
      </c>
      <c r="J23" s="3"/>
    </row>
    <row r="24" spans="2:10" x14ac:dyDescent="0.35">
      <c r="B24" s="20" t="s">
        <v>24</v>
      </c>
      <c r="C24" s="16" t="s">
        <v>38</v>
      </c>
      <c r="D24" s="17" t="s">
        <v>50</v>
      </c>
      <c r="E24" s="17" t="s">
        <v>64</v>
      </c>
      <c r="F24" s="17" t="s">
        <v>67</v>
      </c>
      <c r="G24" s="17" t="s">
        <v>80</v>
      </c>
      <c r="H24" s="11">
        <v>0.66</v>
      </c>
      <c r="I24" s="9">
        <v>1</v>
      </c>
      <c r="J24" s="3"/>
    </row>
    <row r="25" spans="2:10" x14ac:dyDescent="0.35">
      <c r="B25" s="20" t="s">
        <v>25</v>
      </c>
      <c r="C25" s="16" t="s">
        <v>39</v>
      </c>
      <c r="D25" s="17"/>
      <c r="E25" s="17"/>
      <c r="F25" s="17"/>
      <c r="G25" s="17"/>
      <c r="H25" s="11"/>
      <c r="I25" s="9">
        <v>1</v>
      </c>
      <c r="J25" s="3"/>
    </row>
    <row r="26" spans="2:10" x14ac:dyDescent="0.35">
      <c r="B26" s="20" t="s">
        <v>26</v>
      </c>
      <c r="C26" s="16" t="s">
        <v>40</v>
      </c>
      <c r="D26" s="17" t="s">
        <v>51</v>
      </c>
      <c r="E26" s="17" t="s">
        <v>65</v>
      </c>
      <c r="F26" s="17" t="s">
        <v>67</v>
      </c>
      <c r="G26" s="17" t="s">
        <v>81</v>
      </c>
      <c r="H26" s="11">
        <v>0.62</v>
      </c>
      <c r="I26" s="9">
        <v>1</v>
      </c>
      <c r="J26" s="3"/>
    </row>
    <row r="27" spans="2:10" ht="15" thickBot="1" x14ac:dyDescent="0.4">
      <c r="B27" s="21"/>
      <c r="C27" s="6"/>
      <c r="D27" s="10"/>
      <c r="E27" s="10"/>
      <c r="F27" s="10"/>
      <c r="G27" s="10"/>
      <c r="H27" s="12">
        <f>SUM(H13:H26)</f>
        <v>5.2960000000000003</v>
      </c>
      <c r="I27" s="10">
        <f>SUM(I13:I26)</f>
        <v>29</v>
      </c>
      <c r="J27" s="3"/>
    </row>
    <row r="28" spans="2:10" ht="15" thickBot="1" x14ac:dyDescent="0.4">
      <c r="I28" s="2"/>
    </row>
    <row r="29" spans="2:10" x14ac:dyDescent="0.35">
      <c r="B29" s="19" t="s">
        <v>1</v>
      </c>
      <c r="C29" s="2"/>
      <c r="D29" s="2"/>
      <c r="E29" s="2"/>
      <c r="F29" s="2"/>
      <c r="G29" s="2"/>
      <c r="H29" s="2"/>
      <c r="I29" s="13"/>
    </row>
    <row r="30" spans="2:10" x14ac:dyDescent="0.35">
      <c r="B30" s="3"/>
      <c r="I30" s="14"/>
    </row>
    <row r="31" spans="2:10" x14ac:dyDescent="0.35">
      <c r="B31" s="3"/>
      <c r="I31" s="14"/>
    </row>
    <row r="32" spans="2:10" x14ac:dyDescent="0.35">
      <c r="B32" s="3"/>
      <c r="I32" s="14"/>
    </row>
    <row r="33" spans="2:9" x14ac:dyDescent="0.35">
      <c r="B33" s="3"/>
      <c r="I33" s="14"/>
    </row>
    <row r="34" spans="2:9" ht="15" thickBot="1" x14ac:dyDescent="0.4">
      <c r="B34" s="5"/>
      <c r="C34" s="6"/>
      <c r="D34" s="6"/>
      <c r="E34" s="6"/>
      <c r="F34" s="6"/>
      <c r="G34" s="6"/>
      <c r="H34" s="6"/>
      <c r="I34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2026-03-13T17:27:25Z</dcterms:modified>
</cp:coreProperties>
</file>