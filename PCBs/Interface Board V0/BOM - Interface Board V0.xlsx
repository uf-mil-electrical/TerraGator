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Interface Board V0\"/>
    </mc:Choice>
  </mc:AlternateContent>
  <xr:revisionPtr revIDLastSave="0" documentId="13_ncr:1_{86F2F485-4A99-4499-BC8A-1ADCEB10F2E0}" xr6:coauthVersionLast="47" xr6:coauthVersionMax="47" xr10:uidLastSave="{00000000-0000-0000-0000-000000000000}"/>
  <bookViews>
    <workbookView xWindow="-110" yWindow="-110" windowWidth="19420" windowHeight="11500" xr2:uid="{E26DCC1B-021E-4F8D-A96F-CD33DEA6B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30" i="1"/>
  <c r="I31" i="1"/>
  <c r="I2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2" i="1"/>
  <c r="I23" i="1"/>
  <c r="I24" i="1"/>
  <c r="I25" i="1"/>
  <c r="I26" i="1"/>
  <c r="I27" i="1"/>
  <c r="I28" i="1"/>
  <c r="I2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M5" i="1" l="1"/>
</calcChain>
</file>

<file path=xl/sharedStrings.xml><?xml version="1.0" encoding="utf-8"?>
<sst xmlns="http://schemas.openxmlformats.org/spreadsheetml/2006/main" count="153" uniqueCount="100">
  <si>
    <t>Designator(s)</t>
  </si>
  <si>
    <t>U1</t>
  </si>
  <si>
    <t>Part Number</t>
  </si>
  <si>
    <t>Value</t>
  </si>
  <si>
    <t>100nF</t>
  </si>
  <si>
    <t>Size</t>
  </si>
  <si>
    <t>Diode</t>
  </si>
  <si>
    <t>U2</t>
  </si>
  <si>
    <t>X1</t>
  </si>
  <si>
    <t>X2</t>
  </si>
  <si>
    <t>C0805C104K5RACTU</t>
  </si>
  <si>
    <t>Detailed Description</t>
  </si>
  <si>
    <t>Type</t>
  </si>
  <si>
    <t>Qty</t>
  </si>
  <si>
    <t>Total Price</t>
  </si>
  <si>
    <t>Vendor</t>
  </si>
  <si>
    <t>Unit Price</t>
  </si>
  <si>
    <t>Mount1, Mount2, Mount3, Mount4</t>
  </si>
  <si>
    <t>Total:</t>
  </si>
  <si>
    <t>Device</t>
  </si>
  <si>
    <t>Radio1</t>
  </si>
  <si>
    <t>Raspberry  Pi 5</t>
  </si>
  <si>
    <t>RFDx900 Modem</t>
  </si>
  <si>
    <t>Capacitor</t>
  </si>
  <si>
    <t>15uF</t>
  </si>
  <si>
    <t>0.47uF</t>
  </si>
  <si>
    <t>Regulator</t>
  </si>
  <si>
    <t>LM2678SX-5.0/NOPB</t>
  </si>
  <si>
    <t>5V, 5A</t>
  </si>
  <si>
    <t>3V3, 5A</t>
  </si>
  <si>
    <t>Inductor</t>
  </si>
  <si>
    <t>10uH</t>
  </si>
  <si>
    <t>180uF</t>
  </si>
  <si>
    <t>D1, D2</t>
  </si>
  <si>
    <t>TO263AB</t>
  </si>
  <si>
    <t>L1, L2</t>
  </si>
  <si>
    <t>Connector</t>
  </si>
  <si>
    <t>X8</t>
  </si>
  <si>
    <t>X9</t>
  </si>
  <si>
    <t>6pin 2.54mm JST</t>
  </si>
  <si>
    <t>2pin 2.54mm JST</t>
  </si>
  <si>
    <t>2x14 Headers</t>
  </si>
  <si>
    <t>070543-0037</t>
  </si>
  <si>
    <t>BHR-10-VUA</t>
  </si>
  <si>
    <t>70543-0003</t>
  </si>
  <si>
    <t>35362-0650</t>
  </si>
  <si>
    <t>EEU-FC1H181L</t>
  </si>
  <si>
    <t>8mm dia</t>
  </si>
  <si>
    <t>C1, C2, C6, C7</t>
  </si>
  <si>
    <t>X3, X5, X6, X7</t>
  </si>
  <si>
    <t>X4</t>
  </si>
  <si>
    <t>H18, H19, H20</t>
  </si>
  <si>
    <t>H8, H9, H10, H11, H12, H13, H14, H15, H16, H17</t>
  </si>
  <si>
    <t>H3, H4, H5, H6, H7</t>
  </si>
  <si>
    <t>H25</t>
  </si>
  <si>
    <t>C3, C4, C5, C8, C9, C10</t>
  </si>
  <si>
    <t>C13, C14</t>
  </si>
  <si>
    <t>C11, C12, C15, C16, C17, C18, C19, C20, C21, C22, C23, C24, C25, C26, C27, C28, C29, C30, C31, C32</t>
  </si>
  <si>
    <t>H26</t>
  </si>
  <si>
    <t>H1, H21, H22, H23, H24</t>
  </si>
  <si>
    <t>DigiKey</t>
  </si>
  <si>
    <t>89883-308LF</t>
  </si>
  <si>
    <t>16 Position Receptacle Connector 0.100" (2.54mm) Through Hole, Right Angle Gold</t>
  </si>
  <si>
    <t>40 Position Receptacle Connector 0.100" (2.54mm) Through Hole, Right Angle Gold</t>
  </si>
  <si>
    <t>XG4H-4034</t>
  </si>
  <si>
    <t>180 µF 50 V Aluminum Electrolytic Capacitors Radial, Can 2000 Hrs @ 105°C</t>
  </si>
  <si>
    <t>0.1 µF ±10% 50V Ceramic Capacitor X7R 0805 (2012 Metric)</t>
  </si>
  <si>
    <t>15 µF 160 V Aluminum Electrolytic Capacitors Radial, Can 15000 Hrs @ 105°C</t>
  </si>
  <si>
    <t>160LLE15MEFC8X11.5</t>
  </si>
  <si>
    <t>0.47 µF ±10% 50V Ceramic Capacitor X7R 0805 (2012 Metric)</t>
  </si>
  <si>
    <t>USB-A1HSW6</t>
  </si>
  <si>
    <t>USB-A (USB TYPE-A) Receptacle Connector 4 Position Through Hole, Right Angle</t>
  </si>
  <si>
    <t>6 Pin Screw Terminal, Power Tap M3 Through Hole</t>
  </si>
  <si>
    <t>Connector Header Through Hole 3 position 0.100" (2.54mm)</t>
  </si>
  <si>
    <t>Mates with 070543-0037</t>
  </si>
  <si>
    <t>3 Rectangular Connectors - Housings Receptacle Black 0.100" (2.54mm)</t>
  </si>
  <si>
    <t>Connector Header Through Hole 10 position 0.100" (2.54mm)</t>
  </si>
  <si>
    <t>Ribbon cable</t>
  </si>
  <si>
    <t>Mates with BHR-10-VUA</t>
  </si>
  <si>
    <t>H3CCH-1006M</t>
  </si>
  <si>
    <t>10 Position Cable Assembly Rectangular Socket to Socket 0.500' (152.40mm, 6.00")</t>
  </si>
  <si>
    <t>Mates with 70543-0003</t>
  </si>
  <si>
    <t>4 Rectangular Connectors - Housings Receptacle Black 0.100" (2.54mm)</t>
  </si>
  <si>
    <t>Connector Header Through Hole 4 position 0.100" (2.54mm)</t>
  </si>
  <si>
    <t>Connector Header Through Hole 6 position 0.079" (2.00mm)</t>
  </si>
  <si>
    <t>VS-6TQ045S-M3</t>
  </si>
  <si>
    <t>Diode 45 V 6A Surface Mount TO-263AB (D2PAK)</t>
  </si>
  <si>
    <t>ASPI-5050LR-100M-T</t>
  </si>
  <si>
    <t>10 µH Shielded Molded Inductor 5 A 43mOhm Max Nonstandard</t>
  </si>
  <si>
    <t>6.00mm x 5.70mm</t>
  </si>
  <si>
    <t>Lab</t>
  </si>
  <si>
    <t>LM2678SX-3.3/NOPB</t>
  </si>
  <si>
    <t>Buck Switching Regulator IC Positive Fixed 3.3V 1 Output 5A TO-263-8, D2PAK (7 Leads + Tab), TO-263CA</t>
  </si>
  <si>
    <t>TO263</t>
  </si>
  <si>
    <t>Buck Switching Regulator IC Positive Fixed 5V 1 Output 5A TO-263-8, D2PAK (7 Leads + Tab), TO-263CA</t>
  </si>
  <si>
    <t>0805</t>
  </si>
  <si>
    <t>TB001-500-04BE</t>
  </si>
  <si>
    <t>4 Position Wire to Board Terminal Block Horizontal with Board 0.197" (5.00mm) Through Hole</t>
  </si>
  <si>
    <t>M3 Mounting Bolts</t>
  </si>
  <si>
    <t>Connector Header Through Hole, Right Angle 14 position 0.100" (2.54mm)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</si>
</sst>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###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0" quotePrefix="1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4" fontId="0" fillId="0" borderId="0" xfId="1" applyFont="1" applyAlignment="1">
      <alignment horizontal="left" vertical="center" wrapText="1"/>
    </xf>
    <xf numFmtId="0" fontId="0" fillId="0" borderId="0" xfId="0" applyFill="1"/>
  </cellXfs>
  <cellStyles count="2">
    <cellStyle name="Currency" xfId="1" builtinId="4"/>
    <cellStyle name="Normal" xfId="0" builtinId="0"/>
  </cellStyles>
  <dxfs count="12">
    <dxf>
      <numFmt numFmtId="34" formatCode="_(&quot;$&quot;* #,##0.00_);_(&quot;$&quot;* \(#,##0.00\);_(&quot;$&quot;* &quot;-&quot;??_);_(@_)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4" formatCode="####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77D05-5511-492D-B5FB-8B99CE03BA51}" name="Table1" displayName="Table1" ref="A1:J100" totalsRowShown="0" headerRowDxfId="11" dataDxfId="10">
  <autoFilter ref="A1:J100" xr:uid="{BA677D05-5511-492D-B5FB-8B99CE03BA51}"/>
  <sortState xmlns:xlrd2="http://schemas.microsoft.com/office/spreadsheetml/2017/richdata2" ref="A2:J100">
    <sortCondition ref="A1:A100"/>
  </sortState>
  <tableColumns count="10">
    <tableColumn id="1" xr3:uid="{A961CFE8-1448-4D02-9DE4-10B9EA293000}" name="Type" dataDxfId="9"/>
    <tableColumn id="2" xr3:uid="{26B497B4-512F-41D6-B354-0281C3E762DC}" name="Designator(s)" dataDxfId="8"/>
    <tableColumn id="3" xr3:uid="{CC226BC3-1948-4594-A737-9D1FA227D753}" name="Qty" dataDxfId="7"/>
    <tableColumn id="4" xr3:uid="{19D46D23-1D09-440B-88D6-E3AD5C281BC8}" name="Value" dataDxfId="6"/>
    <tableColumn id="5" xr3:uid="{44456CD9-F5EC-4F7C-8FE1-DEA3EC155F9E}" name="Detailed Description" dataDxfId="5"/>
    <tableColumn id="6" xr3:uid="{4AEFEFE9-6BE3-4AA4-AEE3-4CDA5C4473B1}" name="Part Number" dataDxfId="4"/>
    <tableColumn id="7" xr3:uid="{AAF908AD-5608-4B8B-A7C4-F6F6ED27BDE0}" name="Size" dataDxfId="3"/>
    <tableColumn id="8" xr3:uid="{BF94E55C-D0C6-4D19-B0EF-A9E2EC767526}" name="Unit Price" dataDxfId="2" dataCellStyle="Currency"/>
    <tableColumn id="9" xr3:uid="{61F6795A-F781-4ACD-8D29-FCEFE09CFA5D}" name="Total Price" dataDxfId="0" dataCellStyle="Currency">
      <calculatedColumnFormula>Table1[[#This Row],[Qty]]*Table1[[#This Row],[Unit Price]]</calculatedColumnFormula>
    </tableColumn>
    <tableColumn id="10" xr3:uid="{A6062DD3-9731-4101-9282-7F5CDCC8A4C3}" name="Vendor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87C3-BC5C-4313-B766-30FA3AE83D22}">
  <dimension ref="A1:M100"/>
  <sheetViews>
    <sheetView tabSelected="1" zoomScale="91" workbookViewId="0">
      <selection activeCell="F4" sqref="F4"/>
    </sheetView>
  </sheetViews>
  <sheetFormatPr defaultColWidth="0" defaultRowHeight="14.5" zeroHeight="1" x14ac:dyDescent="0.35"/>
  <cols>
    <col min="1" max="1" width="16.54296875" style="1" customWidth="1"/>
    <col min="2" max="2" width="25.1796875" style="1" customWidth="1"/>
    <col min="3" max="3" width="7.26953125" style="1" customWidth="1"/>
    <col min="4" max="4" width="8.7265625" style="1" customWidth="1"/>
    <col min="5" max="5" width="26.26953125" style="4" customWidth="1"/>
    <col min="6" max="6" width="22.81640625" style="1" customWidth="1"/>
    <col min="7" max="7" width="8.7265625" style="2" customWidth="1"/>
    <col min="8" max="8" width="10.7265625" style="5" customWidth="1"/>
    <col min="9" max="9" width="12.26953125" style="5" customWidth="1"/>
    <col min="10" max="10" width="8.90625" style="1" customWidth="1"/>
    <col min="11" max="11" width="8.7265625" style="1" customWidth="1"/>
    <col min="12" max="12" width="6.81640625" style="1" customWidth="1"/>
    <col min="13" max="13" width="15.1796875" style="1" customWidth="1"/>
    <col min="14" max="16384" width="8.7265625" style="1" hidden="1"/>
  </cols>
  <sheetData>
    <row r="1" spans="1:13" x14ac:dyDescent="0.35">
      <c r="A1" s="1" t="s">
        <v>12</v>
      </c>
      <c r="B1" s="1" t="s">
        <v>0</v>
      </c>
      <c r="C1" s="1" t="s">
        <v>13</v>
      </c>
      <c r="D1" s="1" t="s">
        <v>3</v>
      </c>
      <c r="E1" s="1" t="s">
        <v>11</v>
      </c>
      <c r="F1" s="1" t="s">
        <v>2</v>
      </c>
      <c r="G1" s="1" t="s">
        <v>5</v>
      </c>
      <c r="H1" s="1" t="s">
        <v>16</v>
      </c>
      <c r="I1" s="1" t="s">
        <v>14</v>
      </c>
      <c r="J1" s="1" t="s">
        <v>15</v>
      </c>
    </row>
    <row r="2" spans="1:13" ht="58" x14ac:dyDescent="0.35">
      <c r="A2" s="1" t="s">
        <v>23</v>
      </c>
      <c r="B2" s="1" t="s">
        <v>57</v>
      </c>
      <c r="C2" s="1">
        <v>20</v>
      </c>
      <c r="D2" s="1" t="s">
        <v>4</v>
      </c>
      <c r="E2" s="4" t="s">
        <v>66</v>
      </c>
      <c r="F2" s="1" t="s">
        <v>10</v>
      </c>
      <c r="G2" s="3" t="s">
        <v>95</v>
      </c>
      <c r="H2" s="5">
        <v>0.16</v>
      </c>
      <c r="I2" s="5">
        <f>Table1[[#This Row],[Qty]]*Table1[[#This Row],[Unit Price]]</f>
        <v>3.2</v>
      </c>
      <c r="J2" s="1" t="s">
        <v>60</v>
      </c>
    </row>
    <row r="3" spans="1:13" ht="21" x14ac:dyDescent="0.35">
      <c r="A3" s="1" t="s">
        <v>23</v>
      </c>
      <c r="B3" s="1" t="s">
        <v>48</v>
      </c>
      <c r="C3" s="1">
        <v>4</v>
      </c>
      <c r="D3" s="1" t="s">
        <v>32</v>
      </c>
      <c r="E3" s="4" t="s">
        <v>65</v>
      </c>
      <c r="F3" s="1" t="s">
        <v>46</v>
      </c>
      <c r="G3" s="2" t="s">
        <v>47</v>
      </c>
      <c r="H3" s="5">
        <v>0.72</v>
      </c>
      <c r="I3" s="5">
        <f>Table1[[#This Row],[Qty]]*Table1[[#This Row],[Unit Price]]</f>
        <v>2.88</v>
      </c>
      <c r="J3" s="1" t="s">
        <v>60</v>
      </c>
    </row>
    <row r="4" spans="1:13" ht="21" x14ac:dyDescent="0.35">
      <c r="A4" s="1" t="s">
        <v>23</v>
      </c>
      <c r="B4" s="1" t="s">
        <v>55</v>
      </c>
      <c r="C4" s="1">
        <v>6</v>
      </c>
      <c r="D4" s="1" t="s">
        <v>24</v>
      </c>
      <c r="E4" s="4" t="s">
        <v>67</v>
      </c>
      <c r="F4" s="1" t="s">
        <v>68</v>
      </c>
      <c r="G4" s="2" t="s">
        <v>47</v>
      </c>
      <c r="H4" s="5">
        <v>0.52</v>
      </c>
      <c r="I4" s="5">
        <f>Table1[[#This Row],[Qty]]*Table1[[#This Row],[Unit Price]]</f>
        <v>3.12</v>
      </c>
      <c r="J4" s="1" t="s">
        <v>60</v>
      </c>
    </row>
    <row r="5" spans="1:13" ht="21" x14ac:dyDescent="0.35">
      <c r="A5" s="1" t="s">
        <v>23</v>
      </c>
      <c r="B5" s="1" t="s">
        <v>56</v>
      </c>
      <c r="C5" s="1">
        <v>1</v>
      </c>
      <c r="D5" s="1" t="s">
        <v>25</v>
      </c>
      <c r="E5" s="4" t="s">
        <v>69</v>
      </c>
      <c r="F5" s="1" t="s">
        <v>68</v>
      </c>
      <c r="G5" s="3" t="s">
        <v>95</v>
      </c>
      <c r="H5" s="5">
        <v>0.21</v>
      </c>
      <c r="I5" s="5">
        <f>Table1[[#This Row],[Qty]]*Table1[[#This Row],[Unit Price]]</f>
        <v>0.21</v>
      </c>
      <c r="J5" s="1" t="s">
        <v>60</v>
      </c>
      <c r="L5" s="1" t="s">
        <v>18</v>
      </c>
      <c r="M5" s="5">
        <f>SUM(I:I,I1)</f>
        <v>66.320000000000007</v>
      </c>
    </row>
    <row r="6" spans="1:13" ht="21" x14ac:dyDescent="0.35">
      <c r="A6" s="1" t="s">
        <v>36</v>
      </c>
      <c r="B6" s="1" t="s">
        <v>9</v>
      </c>
      <c r="C6" s="1">
        <v>1</v>
      </c>
      <c r="E6" s="4" t="s">
        <v>71</v>
      </c>
      <c r="F6" s="1" t="s">
        <v>70</v>
      </c>
      <c r="G6" s="3" t="s">
        <v>95</v>
      </c>
      <c r="H6" s="5">
        <v>0.5</v>
      </c>
      <c r="I6" s="5">
        <f>Table1[[#This Row],[Qty]]*Table1[[#This Row],[Unit Price]]</f>
        <v>0.5</v>
      </c>
      <c r="J6" s="1" t="s">
        <v>60</v>
      </c>
    </row>
    <row r="7" spans="1:13" ht="21" x14ac:dyDescent="0.35">
      <c r="A7" s="1" t="s">
        <v>36</v>
      </c>
      <c r="B7" s="1" t="s">
        <v>49</v>
      </c>
      <c r="C7" s="1">
        <v>4</v>
      </c>
      <c r="E7" s="4" t="s">
        <v>72</v>
      </c>
      <c r="F7" s="1">
        <v>7461057</v>
      </c>
      <c r="G7" s="3" t="s">
        <v>95</v>
      </c>
      <c r="H7" s="5">
        <v>2.31</v>
      </c>
      <c r="I7" s="5">
        <f>Table1[[#This Row],[Qty]]*Table1[[#This Row],[Unit Price]]</f>
        <v>9.24</v>
      </c>
      <c r="J7" s="1" t="s">
        <v>60</v>
      </c>
    </row>
    <row r="8" spans="1:13" ht="31.5" x14ac:dyDescent="0.35">
      <c r="A8" s="1" t="s">
        <v>36</v>
      </c>
      <c r="B8" s="1" t="s">
        <v>50</v>
      </c>
      <c r="C8" s="1">
        <v>1</v>
      </c>
      <c r="E8" s="4" t="s">
        <v>97</v>
      </c>
      <c r="F8" s="1" t="s">
        <v>96</v>
      </c>
      <c r="H8" s="5">
        <v>0.7</v>
      </c>
      <c r="I8" s="5">
        <f>Table1[[#This Row],[Qty]]*Table1[[#This Row],[Unit Price]]</f>
        <v>0.7</v>
      </c>
      <c r="J8" s="1" t="s">
        <v>60</v>
      </c>
    </row>
    <row r="9" spans="1:13" x14ac:dyDescent="0.35">
      <c r="A9" s="1" t="s">
        <v>36</v>
      </c>
      <c r="B9" s="1" t="s">
        <v>37</v>
      </c>
      <c r="C9" s="1">
        <v>1</v>
      </c>
      <c r="E9" s="4" t="s">
        <v>39</v>
      </c>
      <c r="I9" s="5">
        <f>Table1[[#This Row],[Qty]]*Table1[[#This Row],[Unit Price]]</f>
        <v>0</v>
      </c>
      <c r="J9" s="1" t="s">
        <v>90</v>
      </c>
    </row>
    <row r="10" spans="1:13" x14ac:dyDescent="0.35">
      <c r="A10" s="1" t="s">
        <v>36</v>
      </c>
      <c r="B10" s="1" t="s">
        <v>38</v>
      </c>
      <c r="C10" s="1">
        <v>1</v>
      </c>
      <c r="E10" s="4" t="s">
        <v>40</v>
      </c>
      <c r="I10" s="5">
        <f>Table1[[#This Row],[Qty]]*Table1[[#This Row],[Unit Price]]</f>
        <v>0</v>
      </c>
      <c r="J10" s="1" t="s">
        <v>90</v>
      </c>
    </row>
    <row r="11" spans="1:13" ht="21" x14ac:dyDescent="0.35">
      <c r="A11" s="1" t="s">
        <v>36</v>
      </c>
      <c r="B11" s="1" t="s">
        <v>58</v>
      </c>
      <c r="C11" s="1">
        <v>1</v>
      </c>
      <c r="E11" s="4" t="s">
        <v>99</v>
      </c>
      <c r="F11" s="1">
        <v>22052141</v>
      </c>
      <c r="H11" s="5">
        <v>1.1299999999999999</v>
      </c>
      <c r="I11" s="5">
        <f>Table1[[#This Row],[Qty]]*Table1[[#This Row],[Unit Price]]</f>
        <v>1.1299999999999999</v>
      </c>
      <c r="J11" s="1" t="s">
        <v>60</v>
      </c>
    </row>
    <row r="12" spans="1:13" x14ac:dyDescent="0.35">
      <c r="A12" s="1" t="s">
        <v>36</v>
      </c>
      <c r="B12" s="6" t="s">
        <v>54</v>
      </c>
      <c r="C12" s="1">
        <v>1</v>
      </c>
      <c r="E12" s="4" t="s">
        <v>41</v>
      </c>
      <c r="I12" s="5">
        <f>Table1[[#This Row],[Qty]]*Table1[[#This Row],[Unit Price]]</f>
        <v>0</v>
      </c>
      <c r="J12" s="1" t="s">
        <v>90</v>
      </c>
    </row>
    <row r="13" spans="1:13" ht="21" x14ac:dyDescent="0.35">
      <c r="A13" s="1" t="s">
        <v>36</v>
      </c>
      <c r="B13" s="1" t="s">
        <v>59</v>
      </c>
      <c r="C13" s="1">
        <v>4</v>
      </c>
      <c r="E13" s="4" t="s">
        <v>73</v>
      </c>
      <c r="F13" s="1" t="s">
        <v>42</v>
      </c>
      <c r="H13" s="5">
        <v>0.78</v>
      </c>
      <c r="I13" s="5">
        <f>Table1[[#This Row],[Qty]]*Table1[[#This Row],[Unit Price]]</f>
        <v>3.12</v>
      </c>
      <c r="J13" s="1" t="s">
        <v>60</v>
      </c>
    </row>
    <row r="14" spans="1:13" ht="21" x14ac:dyDescent="0.35">
      <c r="A14" s="1" t="s">
        <v>36</v>
      </c>
      <c r="B14" s="1" t="s">
        <v>51</v>
      </c>
      <c r="C14" s="1">
        <v>3</v>
      </c>
      <c r="E14" s="4" t="s">
        <v>76</v>
      </c>
      <c r="F14" s="1" t="s">
        <v>43</v>
      </c>
      <c r="H14" s="5">
        <v>0.28000000000000003</v>
      </c>
      <c r="I14" s="5">
        <f>Table1[[#This Row],[Qty]]*Table1[[#This Row],[Unit Price]]</f>
        <v>0.84000000000000008</v>
      </c>
      <c r="J14" s="1" t="s">
        <v>60</v>
      </c>
    </row>
    <row r="15" spans="1:13" ht="29" x14ac:dyDescent="0.35">
      <c r="A15" s="1" t="s">
        <v>36</v>
      </c>
      <c r="B15" s="1" t="s">
        <v>52</v>
      </c>
      <c r="C15" s="1">
        <v>10</v>
      </c>
      <c r="E15" s="4" t="s">
        <v>83</v>
      </c>
      <c r="F15" s="1" t="s">
        <v>44</v>
      </c>
      <c r="H15" s="5">
        <v>0.85</v>
      </c>
      <c r="I15" s="5">
        <f>Table1[[#This Row],[Qty]]*Table1[[#This Row],[Unit Price]]</f>
        <v>8.5</v>
      </c>
      <c r="J15" s="1" t="s">
        <v>60</v>
      </c>
    </row>
    <row r="16" spans="1:13" ht="21" x14ac:dyDescent="0.35">
      <c r="A16" s="1" t="s">
        <v>36</v>
      </c>
      <c r="B16" s="1" t="s">
        <v>53</v>
      </c>
      <c r="C16" s="1">
        <v>5</v>
      </c>
      <c r="E16" s="4" t="s">
        <v>84</v>
      </c>
      <c r="F16" s="1" t="s">
        <v>45</v>
      </c>
      <c r="H16" s="5">
        <v>0.35</v>
      </c>
      <c r="I16" s="5">
        <f>Table1[[#This Row],[Qty]]*Table1[[#This Row],[Unit Price]]</f>
        <v>1.75</v>
      </c>
      <c r="J16" s="1" t="s">
        <v>60</v>
      </c>
    </row>
    <row r="17" spans="1:10" ht="29" x14ac:dyDescent="0.35">
      <c r="A17" s="1" t="s">
        <v>36</v>
      </c>
      <c r="B17" s="1" t="s">
        <v>17</v>
      </c>
      <c r="C17" s="1">
        <v>4</v>
      </c>
      <c r="E17" s="4" t="s">
        <v>98</v>
      </c>
      <c r="I17" s="5">
        <f>Table1[[#This Row],[Qty]]*Table1[[#This Row],[Unit Price]]</f>
        <v>0</v>
      </c>
      <c r="J17" s="1" t="s">
        <v>90</v>
      </c>
    </row>
    <row r="18" spans="1:10" ht="21" x14ac:dyDescent="0.35">
      <c r="A18" s="1" t="s">
        <v>36</v>
      </c>
      <c r="B18" s="1" t="s">
        <v>8</v>
      </c>
      <c r="C18" s="1">
        <v>1</v>
      </c>
      <c r="E18" s="4" t="s">
        <v>63</v>
      </c>
      <c r="F18" s="1" t="s">
        <v>64</v>
      </c>
      <c r="H18" s="5">
        <v>5.27</v>
      </c>
      <c r="I18" s="5">
        <f>Table1[[#This Row],[Qty]]*Table1[[#This Row],[Unit Price]]</f>
        <v>5.27</v>
      </c>
      <c r="J18" s="1" t="s">
        <v>60</v>
      </c>
    </row>
    <row r="19" spans="1:10" ht="21" x14ac:dyDescent="0.35">
      <c r="A19" s="1" t="s">
        <v>36</v>
      </c>
      <c r="B19" s="1" t="s">
        <v>20</v>
      </c>
      <c r="C19" s="1">
        <v>1</v>
      </c>
      <c r="E19" s="4" t="s">
        <v>62</v>
      </c>
      <c r="F19" s="1" t="s">
        <v>61</v>
      </c>
      <c r="G19" s="3"/>
      <c r="H19" s="5">
        <v>1.56</v>
      </c>
      <c r="I19" s="5">
        <f>Table1[[#This Row],[Qty]]*Table1[[#This Row],[Unit Price]]</f>
        <v>1.56</v>
      </c>
      <c r="J19" s="1" t="s">
        <v>60</v>
      </c>
    </row>
    <row r="20" spans="1:10" ht="21" x14ac:dyDescent="0.35">
      <c r="A20" s="1" t="s">
        <v>36</v>
      </c>
      <c r="B20" s="1" t="s">
        <v>74</v>
      </c>
      <c r="C20" s="1">
        <v>4</v>
      </c>
      <c r="E20" s="4" t="s">
        <v>75</v>
      </c>
      <c r="F20" s="1">
        <v>50579403</v>
      </c>
      <c r="H20" s="5">
        <v>0.21</v>
      </c>
      <c r="I20" s="5">
        <f>Table1[[#This Row],[Qty]]*Table1[[#This Row],[Unit Price]]</f>
        <v>0.84</v>
      </c>
      <c r="J20" s="1" t="s">
        <v>60</v>
      </c>
    </row>
    <row r="21" spans="1:10" ht="21" x14ac:dyDescent="0.35">
      <c r="A21" s="1" t="s">
        <v>36</v>
      </c>
      <c r="B21" s="1" t="s">
        <v>81</v>
      </c>
      <c r="C21" s="1">
        <v>10</v>
      </c>
      <c r="E21" s="4" t="s">
        <v>82</v>
      </c>
      <c r="F21" s="1">
        <v>50579404</v>
      </c>
      <c r="H21" s="5">
        <v>0.26</v>
      </c>
      <c r="I21" s="5">
        <f>Table1[[#This Row],[Qty]]*Table1[[#This Row],[Unit Price]]</f>
        <v>2.6</v>
      </c>
      <c r="J21" s="1" t="s">
        <v>60</v>
      </c>
    </row>
    <row r="22" spans="1:10" x14ac:dyDescent="0.35">
      <c r="A22" s="1" t="s">
        <v>19</v>
      </c>
      <c r="B22" s="1" t="s">
        <v>20</v>
      </c>
      <c r="C22" s="1">
        <v>1</v>
      </c>
      <c r="E22" s="4" t="s">
        <v>22</v>
      </c>
      <c r="I22" s="5">
        <f>Table1[[#This Row],[Qty]]*Table1[[#This Row],[Unit Price]]</f>
        <v>0</v>
      </c>
      <c r="J22" s="1" t="s">
        <v>90</v>
      </c>
    </row>
    <row r="23" spans="1:10" x14ac:dyDescent="0.35">
      <c r="A23" s="1" t="s">
        <v>19</v>
      </c>
      <c r="B23" s="1" t="s">
        <v>8</v>
      </c>
      <c r="C23" s="1">
        <v>1</v>
      </c>
      <c r="E23" s="4" t="s">
        <v>21</v>
      </c>
      <c r="I23" s="5">
        <f>Table1[[#This Row],[Qty]]*Table1[[#This Row],[Unit Price]]</f>
        <v>0</v>
      </c>
      <c r="J23" s="1" t="s">
        <v>90</v>
      </c>
    </row>
    <row r="24" spans="1:10" ht="21" x14ac:dyDescent="0.35">
      <c r="A24" s="1" t="s">
        <v>6</v>
      </c>
      <c r="B24" s="1" t="s">
        <v>33</v>
      </c>
      <c r="C24" s="1">
        <v>2</v>
      </c>
      <c r="E24" s="4" t="s">
        <v>86</v>
      </c>
      <c r="F24" s="1" t="s">
        <v>85</v>
      </c>
      <c r="G24" s="2" t="s">
        <v>34</v>
      </c>
      <c r="H24" s="5">
        <v>0.76</v>
      </c>
      <c r="I24" s="5">
        <f>Table1[[#This Row],[Qty]]*Table1[[#This Row],[Unit Price]]</f>
        <v>1.52</v>
      </c>
      <c r="J24" s="1" t="s">
        <v>60</v>
      </c>
    </row>
    <row r="25" spans="1:10" ht="29" x14ac:dyDescent="0.35">
      <c r="A25" s="1" t="s">
        <v>30</v>
      </c>
      <c r="B25" s="1" t="s">
        <v>35</v>
      </c>
      <c r="C25" s="1">
        <v>2</v>
      </c>
      <c r="D25" s="1" t="s">
        <v>31</v>
      </c>
      <c r="E25" s="4" t="s">
        <v>88</v>
      </c>
      <c r="F25" s="1" t="s">
        <v>87</v>
      </c>
      <c r="G25" s="2" t="s">
        <v>89</v>
      </c>
      <c r="H25" s="5">
        <v>1.06</v>
      </c>
      <c r="I25" s="5">
        <f>Table1[[#This Row],[Qty]]*Table1[[#This Row],[Unit Price]]</f>
        <v>2.12</v>
      </c>
      <c r="J25" s="1" t="s">
        <v>60</v>
      </c>
    </row>
    <row r="26" spans="1:10" ht="31.5" x14ac:dyDescent="0.35">
      <c r="A26" s="1" t="s">
        <v>26</v>
      </c>
      <c r="B26" s="1" t="s">
        <v>1</v>
      </c>
      <c r="C26" s="1">
        <v>1</v>
      </c>
      <c r="D26" s="1" t="s">
        <v>28</v>
      </c>
      <c r="E26" s="4" t="s">
        <v>94</v>
      </c>
      <c r="F26" s="1" t="s">
        <v>27</v>
      </c>
      <c r="G26" s="2" t="s">
        <v>93</v>
      </c>
      <c r="H26" s="5">
        <v>6.99</v>
      </c>
      <c r="I26" s="5">
        <f>Table1[[#This Row],[Qty]]*Table1[[#This Row],[Unit Price]]</f>
        <v>6.99</v>
      </c>
      <c r="J26" s="1" t="s">
        <v>60</v>
      </c>
    </row>
    <row r="27" spans="1:10" ht="31.5" x14ac:dyDescent="0.35">
      <c r="A27" s="1" t="s">
        <v>26</v>
      </c>
      <c r="B27" s="1" t="s">
        <v>7</v>
      </c>
      <c r="C27" s="1">
        <v>1</v>
      </c>
      <c r="D27" s="1" t="s">
        <v>29</v>
      </c>
      <c r="E27" s="4" t="s">
        <v>92</v>
      </c>
      <c r="F27" s="1" t="s">
        <v>91</v>
      </c>
      <c r="G27" s="2" t="s">
        <v>93</v>
      </c>
      <c r="H27" s="5">
        <v>6.99</v>
      </c>
      <c r="I27" s="5">
        <f>Table1[[#This Row],[Qty]]*Table1[[#This Row],[Unit Price]]</f>
        <v>6.99</v>
      </c>
      <c r="J27" s="1" t="s">
        <v>60</v>
      </c>
    </row>
    <row r="28" spans="1:10" ht="21" x14ac:dyDescent="0.35">
      <c r="A28" s="1" t="s">
        <v>77</v>
      </c>
      <c r="B28" s="1" t="s">
        <v>78</v>
      </c>
      <c r="C28" s="1">
        <v>3</v>
      </c>
      <c r="E28" s="4" t="s">
        <v>80</v>
      </c>
      <c r="F28" s="1" t="s">
        <v>79</v>
      </c>
      <c r="H28" s="5">
        <v>1.08</v>
      </c>
      <c r="I28" s="5">
        <f>Table1[[#This Row],[Qty]]*Table1[[#This Row],[Unit Price]]</f>
        <v>3.24</v>
      </c>
      <c r="J28" s="1" t="s">
        <v>60</v>
      </c>
    </row>
    <row r="29" spans="1:10" hidden="1" x14ac:dyDescent="0.35">
      <c r="I29" s="5">
        <f>Table1[[#This Row],[Qty]]*Table1[[#This Row],[Unit Price]]</f>
        <v>0</v>
      </c>
    </row>
    <row r="30" spans="1:10" hidden="1" x14ac:dyDescent="0.35">
      <c r="G30" s="3"/>
      <c r="I30" s="5">
        <f>Table1[[#This Row],[Qty]]*Table1[[#This Row],[Unit Price]]</f>
        <v>0</v>
      </c>
    </row>
    <row r="31" spans="1:10" hidden="1" x14ac:dyDescent="0.35">
      <c r="G31" s="3"/>
      <c r="I31" s="5">
        <f>Table1[[#This Row],[Qty]]*Table1[[#This Row],[Unit Price]]</f>
        <v>0</v>
      </c>
    </row>
    <row r="32" spans="1:10" hidden="1" x14ac:dyDescent="0.35">
      <c r="I32" s="5">
        <f>Table1[[#This Row],[Qty]]*Table1[[#This Row],[Unit Price]]</f>
        <v>0</v>
      </c>
    </row>
    <row r="33" spans="9:9" hidden="1" x14ac:dyDescent="0.35">
      <c r="I33" s="5">
        <f>Table1[[#This Row],[Qty]]*Table1[[#This Row],[Unit Price]]</f>
        <v>0</v>
      </c>
    </row>
    <row r="34" spans="9:9" hidden="1" x14ac:dyDescent="0.35">
      <c r="I34" s="5">
        <f>Table1[[#This Row],[Qty]]*Table1[[#This Row],[Unit Price]]</f>
        <v>0</v>
      </c>
    </row>
    <row r="35" spans="9:9" hidden="1" x14ac:dyDescent="0.35">
      <c r="I35" s="5">
        <f>Table1[[#This Row],[Qty]]*Table1[[#This Row],[Unit Price]]</f>
        <v>0</v>
      </c>
    </row>
    <row r="36" spans="9:9" hidden="1" x14ac:dyDescent="0.35">
      <c r="I36" s="5">
        <f>Table1[[#This Row],[Qty]]*Table1[[#This Row],[Unit Price]]</f>
        <v>0</v>
      </c>
    </row>
    <row r="37" spans="9:9" hidden="1" x14ac:dyDescent="0.35">
      <c r="I37" s="5">
        <f>Table1[[#This Row],[Qty]]*Table1[[#This Row],[Unit Price]]</f>
        <v>0</v>
      </c>
    </row>
    <row r="38" spans="9:9" hidden="1" x14ac:dyDescent="0.35">
      <c r="I38" s="5">
        <f>Table1[[#This Row],[Qty]]*Table1[[#This Row],[Unit Price]]</f>
        <v>0</v>
      </c>
    </row>
    <row r="39" spans="9:9" hidden="1" x14ac:dyDescent="0.35">
      <c r="I39" s="5">
        <f>Table1[[#This Row],[Qty]]*Table1[[#This Row],[Unit Price]]</f>
        <v>0</v>
      </c>
    </row>
    <row r="40" spans="9:9" hidden="1" x14ac:dyDescent="0.35">
      <c r="I40" s="5">
        <f>Table1[[#This Row],[Qty]]*Table1[[#This Row],[Unit Price]]</f>
        <v>0</v>
      </c>
    </row>
    <row r="41" spans="9:9" hidden="1" x14ac:dyDescent="0.35">
      <c r="I41" s="5">
        <f>Table1[[#This Row],[Qty]]*Table1[[#This Row],[Unit Price]]</f>
        <v>0</v>
      </c>
    </row>
    <row r="42" spans="9:9" hidden="1" x14ac:dyDescent="0.35">
      <c r="I42" s="5">
        <f>Table1[[#This Row],[Qty]]*Table1[[#This Row],[Unit Price]]</f>
        <v>0</v>
      </c>
    </row>
    <row r="43" spans="9:9" hidden="1" x14ac:dyDescent="0.35">
      <c r="I43" s="5">
        <f>Table1[[#This Row],[Qty]]*Table1[[#This Row],[Unit Price]]</f>
        <v>0</v>
      </c>
    </row>
    <row r="44" spans="9:9" hidden="1" x14ac:dyDescent="0.35">
      <c r="I44" s="5">
        <f>Table1[[#This Row],[Qty]]*Table1[[#This Row],[Unit Price]]</f>
        <v>0</v>
      </c>
    </row>
    <row r="45" spans="9:9" hidden="1" x14ac:dyDescent="0.35">
      <c r="I45" s="5">
        <f>Table1[[#This Row],[Qty]]*Table1[[#This Row],[Unit Price]]</f>
        <v>0</v>
      </c>
    </row>
    <row r="46" spans="9:9" hidden="1" x14ac:dyDescent="0.35">
      <c r="I46" s="5">
        <f>Table1[[#This Row],[Qty]]*Table1[[#This Row],[Unit Price]]</f>
        <v>0</v>
      </c>
    </row>
    <row r="47" spans="9:9" hidden="1" x14ac:dyDescent="0.35">
      <c r="I47" s="5">
        <f>Table1[[#This Row],[Qty]]*Table1[[#This Row],[Unit Price]]</f>
        <v>0</v>
      </c>
    </row>
    <row r="48" spans="9:9" hidden="1" x14ac:dyDescent="0.35">
      <c r="I48" s="5">
        <f>Table1[[#This Row],[Qty]]*Table1[[#This Row],[Unit Price]]</f>
        <v>0</v>
      </c>
    </row>
    <row r="49" spans="9:9" hidden="1" x14ac:dyDescent="0.35">
      <c r="I49" s="5">
        <f>Table1[[#This Row],[Qty]]*Table1[[#This Row],[Unit Price]]</f>
        <v>0</v>
      </c>
    </row>
    <row r="50" spans="9:9" hidden="1" x14ac:dyDescent="0.35">
      <c r="I50" s="5">
        <f>Table1[[#This Row],[Qty]]*Table1[[#This Row],[Unit Price]]</f>
        <v>0</v>
      </c>
    </row>
    <row r="51" spans="9:9" hidden="1" x14ac:dyDescent="0.35">
      <c r="I51" s="5">
        <f>Table1[[#This Row],[Qty]]*Table1[[#This Row],[Unit Price]]</f>
        <v>0</v>
      </c>
    </row>
    <row r="52" spans="9:9" hidden="1" x14ac:dyDescent="0.35">
      <c r="I52" s="5">
        <f>Table1[[#This Row],[Qty]]*Table1[[#This Row],[Unit Price]]</f>
        <v>0</v>
      </c>
    </row>
    <row r="53" spans="9:9" hidden="1" x14ac:dyDescent="0.35">
      <c r="I53" s="5">
        <f>Table1[[#This Row],[Qty]]*Table1[[#This Row],[Unit Price]]</f>
        <v>0</v>
      </c>
    </row>
    <row r="54" spans="9:9" hidden="1" x14ac:dyDescent="0.35">
      <c r="I54" s="5">
        <f>Table1[[#This Row],[Qty]]*Table1[[#This Row],[Unit Price]]</f>
        <v>0</v>
      </c>
    </row>
    <row r="55" spans="9:9" hidden="1" x14ac:dyDescent="0.35">
      <c r="I55" s="5">
        <f>Table1[[#This Row],[Qty]]*Table1[[#This Row],[Unit Price]]</f>
        <v>0</v>
      </c>
    </row>
    <row r="56" spans="9:9" hidden="1" x14ac:dyDescent="0.35">
      <c r="I56" s="5">
        <f>Table1[[#This Row],[Qty]]*Table1[[#This Row],[Unit Price]]</f>
        <v>0</v>
      </c>
    </row>
    <row r="57" spans="9:9" hidden="1" x14ac:dyDescent="0.35">
      <c r="I57" s="5">
        <f>Table1[[#This Row],[Qty]]*Table1[[#This Row],[Unit Price]]</f>
        <v>0</v>
      </c>
    </row>
    <row r="58" spans="9:9" hidden="1" x14ac:dyDescent="0.35">
      <c r="I58" s="5">
        <f>Table1[[#This Row],[Qty]]*Table1[[#This Row],[Unit Price]]</f>
        <v>0</v>
      </c>
    </row>
    <row r="59" spans="9:9" hidden="1" x14ac:dyDescent="0.35">
      <c r="I59" s="5">
        <f>Table1[[#This Row],[Qty]]*Table1[[#This Row],[Unit Price]]</f>
        <v>0</v>
      </c>
    </row>
    <row r="60" spans="9:9" hidden="1" x14ac:dyDescent="0.35">
      <c r="I60" s="5">
        <f>Table1[[#This Row],[Qty]]*Table1[[#This Row],[Unit Price]]</f>
        <v>0</v>
      </c>
    </row>
    <row r="61" spans="9:9" hidden="1" x14ac:dyDescent="0.35">
      <c r="I61" s="5">
        <f>Table1[[#This Row],[Qty]]*Table1[[#This Row],[Unit Price]]</f>
        <v>0</v>
      </c>
    </row>
    <row r="62" spans="9:9" hidden="1" x14ac:dyDescent="0.35">
      <c r="I62" s="5">
        <f>Table1[[#This Row],[Qty]]*Table1[[#This Row],[Unit Price]]</f>
        <v>0</v>
      </c>
    </row>
    <row r="63" spans="9:9" hidden="1" x14ac:dyDescent="0.35">
      <c r="I63" s="5">
        <f>Table1[[#This Row],[Qty]]*Table1[[#This Row],[Unit Price]]</f>
        <v>0</v>
      </c>
    </row>
    <row r="64" spans="9:9" hidden="1" x14ac:dyDescent="0.35">
      <c r="I64" s="5">
        <f>Table1[[#This Row],[Qty]]*Table1[[#This Row],[Unit Price]]</f>
        <v>0</v>
      </c>
    </row>
    <row r="65" spans="9:9" hidden="1" x14ac:dyDescent="0.35">
      <c r="I65" s="5">
        <f>Table1[[#This Row],[Qty]]*Table1[[#This Row],[Unit Price]]</f>
        <v>0</v>
      </c>
    </row>
    <row r="66" spans="9:9" hidden="1" x14ac:dyDescent="0.35">
      <c r="I66" s="5">
        <f>Table1[[#This Row],[Qty]]*Table1[[#This Row],[Unit Price]]</f>
        <v>0</v>
      </c>
    </row>
    <row r="67" spans="9:9" hidden="1" x14ac:dyDescent="0.35">
      <c r="I67" s="5">
        <f>Table1[[#This Row],[Qty]]*Table1[[#This Row],[Unit Price]]</f>
        <v>0</v>
      </c>
    </row>
    <row r="68" spans="9:9" hidden="1" x14ac:dyDescent="0.35">
      <c r="I68" s="5">
        <f>Table1[[#This Row],[Qty]]*Table1[[#This Row],[Unit Price]]</f>
        <v>0</v>
      </c>
    </row>
    <row r="69" spans="9:9" hidden="1" x14ac:dyDescent="0.35">
      <c r="I69" s="5">
        <f>Table1[[#This Row],[Qty]]*Table1[[#This Row],[Unit Price]]</f>
        <v>0</v>
      </c>
    </row>
    <row r="70" spans="9:9" hidden="1" x14ac:dyDescent="0.35">
      <c r="I70" s="5">
        <f>Table1[[#This Row],[Qty]]*Table1[[#This Row],[Unit Price]]</f>
        <v>0</v>
      </c>
    </row>
    <row r="71" spans="9:9" hidden="1" x14ac:dyDescent="0.35">
      <c r="I71" s="5">
        <f>Table1[[#This Row],[Qty]]*Table1[[#This Row],[Unit Price]]</f>
        <v>0</v>
      </c>
    </row>
    <row r="72" spans="9:9" hidden="1" x14ac:dyDescent="0.35">
      <c r="I72" s="5">
        <f>Table1[[#This Row],[Qty]]*Table1[[#This Row],[Unit Price]]</f>
        <v>0</v>
      </c>
    </row>
    <row r="73" spans="9:9" hidden="1" x14ac:dyDescent="0.35">
      <c r="I73" s="5">
        <f>Table1[[#This Row],[Qty]]*Table1[[#This Row],[Unit Price]]</f>
        <v>0</v>
      </c>
    </row>
    <row r="74" spans="9:9" hidden="1" x14ac:dyDescent="0.35">
      <c r="I74" s="5">
        <f>Table1[[#This Row],[Qty]]*Table1[[#This Row],[Unit Price]]</f>
        <v>0</v>
      </c>
    </row>
    <row r="75" spans="9:9" hidden="1" x14ac:dyDescent="0.35">
      <c r="I75" s="5">
        <f>Table1[[#This Row],[Qty]]*Table1[[#This Row],[Unit Price]]</f>
        <v>0</v>
      </c>
    </row>
    <row r="76" spans="9:9" hidden="1" x14ac:dyDescent="0.35">
      <c r="I76" s="5">
        <f>Table1[[#This Row],[Qty]]*Table1[[#This Row],[Unit Price]]</f>
        <v>0</v>
      </c>
    </row>
    <row r="77" spans="9:9" hidden="1" x14ac:dyDescent="0.35">
      <c r="I77" s="5">
        <f>Table1[[#This Row],[Qty]]*Table1[[#This Row],[Unit Price]]</f>
        <v>0</v>
      </c>
    </row>
    <row r="78" spans="9:9" hidden="1" x14ac:dyDescent="0.35">
      <c r="I78" s="5">
        <f>Table1[[#This Row],[Qty]]*Table1[[#This Row],[Unit Price]]</f>
        <v>0</v>
      </c>
    </row>
    <row r="79" spans="9:9" hidden="1" x14ac:dyDescent="0.35">
      <c r="I79" s="5">
        <f>Table1[[#This Row],[Qty]]*Table1[[#This Row],[Unit Price]]</f>
        <v>0</v>
      </c>
    </row>
    <row r="80" spans="9:9" hidden="1" x14ac:dyDescent="0.35">
      <c r="I80" s="5">
        <f>Table1[[#This Row],[Qty]]*Table1[[#This Row],[Unit Price]]</f>
        <v>0</v>
      </c>
    </row>
    <row r="81" spans="9:9" hidden="1" x14ac:dyDescent="0.35">
      <c r="I81" s="5">
        <f>Table1[[#This Row],[Qty]]*Table1[[#This Row],[Unit Price]]</f>
        <v>0</v>
      </c>
    </row>
    <row r="82" spans="9:9" hidden="1" x14ac:dyDescent="0.35">
      <c r="I82" s="5">
        <f>Table1[[#This Row],[Qty]]*Table1[[#This Row],[Unit Price]]</f>
        <v>0</v>
      </c>
    </row>
    <row r="83" spans="9:9" hidden="1" x14ac:dyDescent="0.35">
      <c r="I83" s="5">
        <f>Table1[[#This Row],[Qty]]*Table1[[#This Row],[Unit Price]]</f>
        <v>0</v>
      </c>
    </row>
    <row r="84" spans="9:9" hidden="1" x14ac:dyDescent="0.35">
      <c r="I84" s="5">
        <f>Table1[[#This Row],[Qty]]*Table1[[#This Row],[Unit Price]]</f>
        <v>0</v>
      </c>
    </row>
    <row r="85" spans="9:9" hidden="1" x14ac:dyDescent="0.35">
      <c r="I85" s="5">
        <f>Table1[[#This Row],[Qty]]*Table1[[#This Row],[Unit Price]]</f>
        <v>0</v>
      </c>
    </row>
    <row r="86" spans="9:9" hidden="1" x14ac:dyDescent="0.35">
      <c r="I86" s="5">
        <f>Table1[[#This Row],[Qty]]*Table1[[#This Row],[Unit Price]]</f>
        <v>0</v>
      </c>
    </row>
    <row r="87" spans="9:9" hidden="1" x14ac:dyDescent="0.35">
      <c r="I87" s="5">
        <f>Table1[[#This Row],[Qty]]*Table1[[#This Row],[Unit Price]]</f>
        <v>0</v>
      </c>
    </row>
    <row r="88" spans="9:9" hidden="1" x14ac:dyDescent="0.35">
      <c r="I88" s="5">
        <f>Table1[[#This Row],[Qty]]*Table1[[#This Row],[Unit Price]]</f>
        <v>0</v>
      </c>
    </row>
    <row r="89" spans="9:9" hidden="1" x14ac:dyDescent="0.35">
      <c r="I89" s="5">
        <f>Table1[[#This Row],[Qty]]*Table1[[#This Row],[Unit Price]]</f>
        <v>0</v>
      </c>
    </row>
    <row r="90" spans="9:9" hidden="1" x14ac:dyDescent="0.35">
      <c r="I90" s="5">
        <f>Table1[[#This Row],[Qty]]*Table1[[#This Row],[Unit Price]]</f>
        <v>0</v>
      </c>
    </row>
    <row r="91" spans="9:9" hidden="1" x14ac:dyDescent="0.35">
      <c r="I91" s="5">
        <f>Table1[[#This Row],[Qty]]*Table1[[#This Row],[Unit Price]]</f>
        <v>0</v>
      </c>
    </row>
    <row r="92" spans="9:9" hidden="1" x14ac:dyDescent="0.35">
      <c r="I92" s="5">
        <f>Table1[[#This Row],[Qty]]*Table1[[#This Row],[Unit Price]]</f>
        <v>0</v>
      </c>
    </row>
    <row r="93" spans="9:9" hidden="1" x14ac:dyDescent="0.35">
      <c r="I93" s="5">
        <f>Table1[[#This Row],[Qty]]*Table1[[#This Row],[Unit Price]]</f>
        <v>0</v>
      </c>
    </row>
    <row r="94" spans="9:9" hidden="1" x14ac:dyDescent="0.35">
      <c r="I94" s="5">
        <f>Table1[[#This Row],[Qty]]*Table1[[#This Row],[Unit Price]]</f>
        <v>0</v>
      </c>
    </row>
    <row r="95" spans="9:9" hidden="1" x14ac:dyDescent="0.35">
      <c r="I95" s="5">
        <f>Table1[[#This Row],[Qty]]*Table1[[#This Row],[Unit Price]]</f>
        <v>0</v>
      </c>
    </row>
    <row r="96" spans="9:9" hidden="1" x14ac:dyDescent="0.35">
      <c r="I96" s="5">
        <f>Table1[[#This Row],[Qty]]*Table1[[#This Row],[Unit Price]]</f>
        <v>0</v>
      </c>
    </row>
    <row r="97" spans="9:9" hidden="1" x14ac:dyDescent="0.35">
      <c r="I97" s="5">
        <f>Table1[[#This Row],[Qty]]*Table1[[#This Row],[Unit Price]]</f>
        <v>0</v>
      </c>
    </row>
    <row r="98" spans="9:9" hidden="1" x14ac:dyDescent="0.35">
      <c r="I98" s="5">
        <f>Table1[[#This Row],[Qty]]*Table1[[#This Row],[Unit Price]]</f>
        <v>0</v>
      </c>
    </row>
    <row r="99" spans="9:9" hidden="1" x14ac:dyDescent="0.35">
      <c r="I99" s="5">
        <f>Table1[[#This Row],[Qty]]*Table1[[#This Row],[Unit Price]]</f>
        <v>0</v>
      </c>
    </row>
    <row r="100" spans="9:9" hidden="1" x14ac:dyDescent="0.35">
      <c r="I100" s="5">
        <f>Table1[[#This Row],[Qty]]*Table1[[#This Row],[Unit Price]]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2025-10-02T17:30:46Z</dcterms:created>
  <dcterms:modified xsi:type="dcterms:W3CDTF">2025-10-09T00:12:02Z</dcterms:modified>
</cp:coreProperties>
</file>