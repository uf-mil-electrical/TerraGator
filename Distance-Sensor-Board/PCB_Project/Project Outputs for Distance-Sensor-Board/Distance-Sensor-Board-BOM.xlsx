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7-MIL/TerraGator/Distance-Sensor-Board/PCB_Project/Project Outputs for Distance-Sensor-Board/"/>
    </mc:Choice>
  </mc:AlternateContent>
  <xr:revisionPtr revIDLastSave="215" documentId="8_{AC425DD0-2049-431C-A32C-BF804303C064}" xr6:coauthVersionLast="47" xr6:coauthVersionMax="47" xr10:uidLastSave="{96A8714E-FF73-43C1-9C82-E216BCCA1BF1}"/>
  <bookViews>
    <workbookView xWindow="-105" yWindow="0" windowWidth="14610" windowHeight="15585" xr2:uid="{36416A99-A661-46BF-AA50-86C6B31C79BF}"/>
  </bookViews>
  <sheets>
    <sheet name="Distance-Sensor-Board-BOM" sheetId="1" r:id="rId1"/>
  </sheets>
  <definedNames>
    <definedName name="_xlnm.Print_Titles" localSheetId="0">'Distance-Sensor-Board-BOM'!$1:$1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<sst xmlns="http://schemas.openxmlformats.org/spreadsheetml/2006/main" count="235" uniqueCount="177">
  <si>
    <t>Comment</t>
  </si>
  <si>
    <t>Description</t>
  </si>
  <si>
    <t>Designator</t>
  </si>
  <si>
    <t>Footprint</t>
  </si>
  <si>
    <t>LibRef</t>
  </si>
  <si>
    <t>Quantity</t>
  </si>
  <si>
    <t>BOOT</t>
  </si>
  <si>
    <t>SWITCH TACTILE SPST-NO 0.05A 24V</t>
  </si>
  <si>
    <t>B1, B2</t>
  </si>
  <si>
    <t>SPST-PUSH-BUTTON</t>
  </si>
  <si>
    <t>1825910-6</t>
  </si>
  <si>
    <t>10uF</t>
  </si>
  <si>
    <t>10uF electrolytic cap, radial can, SMD</t>
  </si>
  <si>
    <t>C1, C2</t>
  </si>
  <si>
    <t>RADIAL_CAN_CAP_4_X_5.8_SMD</t>
  </si>
  <si>
    <t>EEE-FK1E100R</t>
  </si>
  <si>
    <t>Cap</t>
  </si>
  <si>
    <t>CAPC0603</t>
  </si>
  <si>
    <t>MF-MSMF050-2</t>
  </si>
  <si>
    <t>[Fuse] Polymeric PTC Resettable Fuse 15V 500 mA Ih Surface Mount 1812 (4532 Metric), Concave</t>
  </si>
  <si>
    <t>F1</t>
  </si>
  <si>
    <t>FUSM4632X85</t>
  </si>
  <si>
    <t>MH2029-300Y</t>
  </si>
  <si>
    <t>FB1</t>
  </si>
  <si>
    <t>L0805</t>
  </si>
  <si>
    <t>USB-B</t>
  </si>
  <si>
    <t>USB-B (USB TYPE-B) USB 2.0 Receptacle Connector 4 Position Through Hole, Right Angle</t>
  </si>
  <si>
    <t>J1</t>
  </si>
  <si>
    <t>SAMTEC_USB-B-S-X-X-TH</t>
  </si>
  <si>
    <t>USB-B-S-X-X-TH</t>
  </si>
  <si>
    <t>Thru-Hole Jumper</t>
  </si>
  <si>
    <t>Clip Jumper</t>
  </si>
  <si>
    <t>J2, J4</t>
  </si>
  <si>
    <t>[Jumper] Solderable Jumper</t>
  </si>
  <si>
    <t>[Jump] Thru-Hole 2pin</t>
  </si>
  <si>
    <t>[Connector] 879142016</t>
  </si>
  <si>
    <t>2x10 2.54mm pitch header</t>
  </si>
  <si>
    <t>J3</t>
  </si>
  <si>
    <t>[Connector] CONN20</t>
  </si>
  <si>
    <t>3.3uH</t>
  </si>
  <si>
    <t>Power Inductors - SMD IND 3.3uH used for RP2350 VREG</t>
  </si>
  <si>
    <t>L1</t>
  </si>
  <si>
    <t>2016_SMD_Inductor</t>
  </si>
  <si>
    <t>INDUCTOR 3.3uH</t>
  </si>
  <si>
    <t>2 port screw</t>
  </si>
  <si>
    <t>2 Position Wire to Board Terminal Block Horizontal with Board 0.200 (5.08mm) Through Hole</t>
  </si>
  <si>
    <t>P1</t>
  </si>
  <si>
    <t>[CONNECTOR] 5MM_2PORT_SCREW</t>
  </si>
  <si>
    <t>[Connector] 691213510002</t>
  </si>
  <si>
    <t>UART</t>
  </si>
  <si>
    <t>Header, Molex, 2mm Pitch Sherlock Header, Single Row, Right Angle 3 Circuits, Length 3.3mm</t>
  </si>
  <si>
    <t>P2</t>
  </si>
  <si>
    <t>MOLEX-HDR-1X3-SHERLOCK-RA</t>
  </si>
  <si>
    <t>MOLEX-HDR-1x3-SHERLOCK_RA</t>
  </si>
  <si>
    <t>FDN340P</t>
  </si>
  <si>
    <t>[MOSFET-P] P-Channel 20 V 2A (Ta) 500mW (Ta) Surface Mount SOT-23-3</t>
  </si>
  <si>
    <t>Q1</t>
  </si>
  <si>
    <t>SOT95P240X120-3N</t>
  </si>
  <si>
    <t>[PMOS] FDN340P</t>
  </si>
  <si>
    <t>Res</t>
  </si>
  <si>
    <t>RES0603</t>
  </si>
  <si>
    <t>ToF 1</t>
  </si>
  <si>
    <t>1x7 2mm pitch sherlock connector</t>
  </si>
  <si>
    <t>ToF1</t>
  </si>
  <si>
    <t>7POS_2MM_CONN</t>
  </si>
  <si>
    <t>MOLEX_SHERLOCK_1x7_CONN</t>
  </si>
  <si>
    <t>ToF 2</t>
  </si>
  <si>
    <t>ToF2</t>
  </si>
  <si>
    <t>ToF 3</t>
  </si>
  <si>
    <t>ToF3</t>
  </si>
  <si>
    <t>ToF 4</t>
  </si>
  <si>
    <t>ToF4</t>
  </si>
  <si>
    <t>[MCU] RP2350</t>
  </si>
  <si>
    <t>RP2350A MCU from Raspberry Pi Pico; QFN 60 7x7,</t>
  </si>
  <si>
    <t>U1</t>
  </si>
  <si>
    <t>QFN40P700X700X90-61N</t>
  </si>
  <si>
    <t>SC1509(13)</t>
  </si>
  <si>
    <t>NCP1117LPST33T3G</t>
  </si>
  <si>
    <t>Linear Voltage Regulator IC Positive Fixed 1 Output 1A SOT-223</t>
  </si>
  <si>
    <t>U2</t>
  </si>
  <si>
    <t>SOT230P700X175-4N</t>
  </si>
  <si>
    <t>LMV358IDR</t>
  </si>
  <si>
    <t>[Op-Amp] Dual, 5.5-V, 1-MHz, RRO operational amplifier 8-SOIC -40 to 125</t>
  </si>
  <si>
    <t>U3</t>
  </si>
  <si>
    <t>SOIC-8</t>
  </si>
  <si>
    <t>W25Q128JVSIQ TR</t>
  </si>
  <si>
    <t>IC FLASH 128MBIT SPI/QUAD 8SOIC</t>
  </si>
  <si>
    <t>U4</t>
  </si>
  <si>
    <t>SOIC_208MIL_WIN</t>
  </si>
  <si>
    <t>ADPL40502AUJZ-1.8-R7</t>
  </si>
  <si>
    <t>Low Noise, 200mA, CMOS Linear Regulator (LDO)</t>
  </si>
  <si>
    <t>U5</t>
  </si>
  <si>
    <t>TSOT-23-5_UJ-5_ADI</t>
  </si>
  <si>
    <t>PCA9306DCTR</t>
  </si>
  <si>
    <t>2-bit bidirectional 400-kHz I2C/SMBus voltage level translator</t>
  </si>
  <si>
    <t>U6</t>
  </si>
  <si>
    <t>SOP65P400X130-8N</t>
  </si>
  <si>
    <t>USS1</t>
  </si>
  <si>
    <t>Header, Molex, 2mm Pitch Sherlock Header, Single Row, Vertical, 4 Circuits, Length 3.3mm, 0353620450</t>
  </si>
  <si>
    <t>US1</t>
  </si>
  <si>
    <t>MOLEX-HDR-1X4-SHERLOCK-VERT</t>
  </si>
  <si>
    <t>MOLEX-HDR-1x4-SHERLOCK_VERT</t>
  </si>
  <si>
    <t>USS2</t>
  </si>
  <si>
    <t>US2</t>
  </si>
  <si>
    <t>USS3</t>
  </si>
  <si>
    <t>US3</t>
  </si>
  <si>
    <t>USS4</t>
  </si>
  <si>
    <t>US4</t>
  </si>
  <si>
    <t>ABM8-272-T3</t>
  </si>
  <si>
    <t>12 MHz Â±30ppm Crystal 10pF 50 Ohms 4-SMD, No Lead</t>
  </si>
  <si>
    <t>Y1</t>
  </si>
  <si>
    <t>XTAL_ABM8-272-T3</t>
  </si>
  <si>
    <t>VAR</t>
  </si>
  <si>
    <t>[Varistor] 1 Circuit Surface Mount, MLCV 0603 (1608 Metric)</t>
  </si>
  <si>
    <t>Z1, Z2</t>
  </si>
  <si>
    <t>VARC1608X56N</t>
  </si>
  <si>
    <t>CG0603MLC-05E</t>
  </si>
  <si>
    <t>C25, C26</t>
  </si>
  <si>
    <t>CAP0603</t>
  </si>
  <si>
    <t>100pF ceramic cap</t>
  </si>
  <si>
    <t>1uF ceramic cap</t>
  </si>
  <si>
    <t>C38</t>
  </si>
  <si>
    <t>4.7uF ceramic cap</t>
  </si>
  <si>
    <t>C4, C5, C6, C10</t>
  </si>
  <si>
    <t>C3, C7, C8, C9, C11, C12, C13, C14, C15, C16, C17, C18, C19, C20, C21, C22, C23, C24, C27, C28, C29, C30, C31, C32, C33, C34, C35, C36, C37</t>
  </si>
  <si>
    <t xml:space="preserve">R1 </t>
  </si>
  <si>
    <t>33 ohm res</t>
  </si>
  <si>
    <t>27 ohm res</t>
  </si>
  <si>
    <t xml:space="preserve">R2, R3 </t>
  </si>
  <si>
    <t>1k ohm res</t>
  </si>
  <si>
    <t xml:space="preserve">R4, R5, R6 </t>
  </si>
  <si>
    <t>10k ohm res</t>
  </si>
  <si>
    <t>200k ohm res</t>
  </si>
  <si>
    <t xml:space="preserve">R7 </t>
  </si>
  <si>
    <t>R8, R9, R11, R12</t>
  </si>
  <si>
    <t>300k ohm res</t>
  </si>
  <si>
    <t>R10</t>
  </si>
  <si>
    <t>DigiKey Link</t>
  </si>
  <si>
    <t>https://www.digikey.com/en/products/detail/te-connectivity-alcoswitch-switches/1825910-6/1632536</t>
  </si>
  <si>
    <t>Added to List?</t>
  </si>
  <si>
    <r>
      <t xml:space="preserve">DigiKey List: </t>
    </r>
    <r>
      <rPr>
        <sz val="11"/>
        <color theme="1"/>
        <rFont val="Aptos Narrow"/>
        <family val="2"/>
        <scheme val="minor"/>
      </rPr>
      <t>https://www.digikey.com/en/mylists/list/SDWFYLVJXC</t>
    </r>
  </si>
  <si>
    <r>
      <t xml:space="preserve">Collaborator PW: </t>
    </r>
    <r>
      <rPr>
        <sz val="11"/>
        <color theme="1"/>
        <rFont val="Aptos Narrow"/>
        <family val="2"/>
        <scheme val="minor"/>
      </rPr>
      <t>MIL2025!</t>
    </r>
  </si>
  <si>
    <t>100nF ceramic cap</t>
  </si>
  <si>
    <t>https://www.digikey.com/en/products/detail/panasonic-electronic-components/EEE-FK1E100R/765964</t>
  </si>
  <si>
    <t>https://www.digikey.com/en/products/detail/samsung-electro-mechanics/CL10A475KO8NNNC/3887442</t>
  </si>
  <si>
    <t>https://www.digikey.com/en/products/detail/murata-electronics/GRM0335C1E101JA01D/702426</t>
  </si>
  <si>
    <t>https://www.digikey.com/en/products/detail/samsung-electro-mechanics/CL10F104ZB8NNNC/3886670</t>
  </si>
  <si>
    <t>https://www.digikey.com/en/products/detail/samsung-electro-mechanics/CL10B105MO8NNWC/5961008</t>
  </si>
  <si>
    <t>https://www.digikey.com/en/products/detail/bourns-inc/MF-MSMF050-2/662816</t>
  </si>
  <si>
    <t>https://www.digikey.com/en/products/detail/bourns-inc/MH2029-300Y/2563323</t>
  </si>
  <si>
    <t>[Inductor] FB 0805</t>
  </si>
  <si>
    <t>https://www.digikey.com/en/products/detail/samtec-inc/USB-B-S-F-B-TH/2686101</t>
  </si>
  <si>
    <t>Just pads and standard header</t>
  </si>
  <si>
    <t>https://www.digikey.com/en/products/detail/w%C3%BCrth-elektronik/691213510002/11477374?s=N4IgTCBcDaIAQDYCcBGMKDMBWFAGfEAugL5A</t>
  </si>
  <si>
    <t>https://www.digikey.com/en/products/detail/abracon-llc/AOTA-B201610S3R3-101-T/25621527</t>
  </si>
  <si>
    <t>https://www.digikey.com/en/products/detail/molex/0353630360/755311?gclsrc=aw.ds&amp;gad_source=1&amp;gad_campaignid=20234014242&amp;gbraid=0AAAAADrbLljRFxhl-K5YFrlhgkwKrF08m&amp;gclid=CjwKCAiA_orJBhBNEiwABkdmjFVDgwK1wFlU7p4EiuHhpdph9qWeSJUw2PtjiUo7bZ6dj6af8xbrtxoCPI8QAvD_BwE</t>
  </si>
  <si>
    <t>https://www.digikey.com/en/products/detail/onsemi/FDN340P/965304</t>
  </si>
  <si>
    <t>https://www.digikey.com/en/products/detail/raspberry-pi/SC1509-13/26241107</t>
  </si>
  <si>
    <t>https://www.digikey.com/en/products/detail/onsemi/NCP1117LPST33T3G/2194024</t>
  </si>
  <si>
    <t>https://www.digikey.com/en/products/detail/texas-instruments/LMV358IDR/381251</t>
  </si>
  <si>
    <t>https://www.digikey.com/en/products/detail/winbond-electronics/W25Q128JVSIQ-TR/5803944</t>
  </si>
  <si>
    <t>https://www.digikey.com/en/products/detail/analog-devices-inc/ADPL40502AUJZ-1-8-R7/26262777</t>
  </si>
  <si>
    <t>https://www.digikey.com/en/products/detail/texas-instruments/PCA9306DCTR/809792</t>
  </si>
  <si>
    <t>https://www.digikey.com/en/products/detail/molex/0353620750/773856</t>
  </si>
  <si>
    <t>^</t>
  </si>
  <si>
    <t>https://www.digikey.com/en/products/detail/abracon-llc/ABM8-272-T3/22472366</t>
  </si>
  <si>
    <t>https://www.digikey.com/en/products/detail/bourns-inc/CG0603MLC-05E/2538084</t>
  </si>
  <si>
    <t>Notes</t>
  </si>
  <si>
    <t>Just pads on PCB</t>
  </si>
  <si>
    <t>https://www.digikey.com/en/products/detail/te-connectivity-passive-product/CRGP0603F27R/8576999</t>
  </si>
  <si>
    <t>https://www.digikey.com/en/products/detail/stackpole-electronics-inc/RMCP0603FT1K00/6269097</t>
  </si>
  <si>
    <t>https://www.digikey.com/en/products/detail/rohm-semiconductor/ESR03EZPJ304/4051237</t>
  </si>
  <si>
    <t>https://www.digikey.com/en/products/detail/rohm-semiconductor/ESR03EZPJ204/4051216</t>
  </si>
  <si>
    <t>https://www.digikey.com/en/products/detail/rohm-semiconductor/ESR03EZPF1002/1983429</t>
  </si>
  <si>
    <t>corresponding female receptacles in digikey list</t>
  </si>
  <si>
    <t>corresponding female receptacles also in list</t>
  </si>
  <si>
    <t>https://www.digikey.com/en/products/detail/molex/0353620450/773855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</si>
</sst>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0" xfId="0" applyFill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46E4-8494-4591-93BE-702DEB3D5D59}">
  <dimension ref="A1:I40"/>
  <sheetViews>
    <sheetView tabSelected="1" zoomScale="85" zoomScaleNormal="85" workbookViewId="0">
      <selection activeCell="H32" sqref="H32"/>
    </sheetView>
  </sheetViews>
  <sheetFormatPr defaultRowHeight="15" x14ac:dyDescent="0.25"/>
  <cols>
    <col min="1" max="1" width="12.5703125" customWidth="1"/>
    <col min="2" max="7" width="19.7109375" customWidth="1"/>
    <col min="8" max="8" width="11.7109375" customWidth="1"/>
    <col min="9" max="9" width="15.140625" customWidth="1"/>
  </cols>
  <sheetData>
    <row r="1" spans="1:9" s="4" customFormat="1" x14ac:dyDescent="0.25">
      <c r="A1" s="4" t="s">
        <v>139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137</v>
      </c>
      <c r="I1" s="8" t="s">
        <v>167</v>
      </c>
    </row>
    <row r="2" spans="1:9" x14ac:dyDescent="0.25">
      <c r="A2" s="5" t="b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1">
        <v>2</v>
      </c>
      <c r="H2" s="1" t="s">
        <v>138</v>
      </c>
      <c r="I2" s="1"/>
    </row>
    <row r="3" spans="1:9" x14ac:dyDescent="0.25">
      <c r="A3" s="5" t="b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1">
        <v>2</v>
      </c>
      <c r="H3" s="1" t="s">
        <v>143</v>
      </c>
      <c r="I3" s="1"/>
    </row>
    <row r="4" spans="1:9" x14ac:dyDescent="0.25">
      <c r="A4" s="5" t="b">
        <v>1</v>
      </c>
      <c r="B4" s="2" t="s">
        <v>16</v>
      </c>
      <c r="C4" s="2" t="s">
        <v>122</v>
      </c>
      <c r="D4" s="2" t="s">
        <v>123</v>
      </c>
      <c r="E4" s="2" t="s">
        <v>118</v>
      </c>
      <c r="F4" s="2" t="s">
        <v>16</v>
      </c>
      <c r="G4" s="1">
        <v>4</v>
      </c>
      <c r="H4" s="1" t="s">
        <v>144</v>
      </c>
      <c r="I4" s="1"/>
    </row>
    <row r="5" spans="1:9" x14ac:dyDescent="0.25">
      <c r="A5" s="5" t="b">
        <v>1</v>
      </c>
      <c r="B5" s="2" t="s">
        <v>16</v>
      </c>
      <c r="C5" s="2" t="s">
        <v>119</v>
      </c>
      <c r="D5" s="2" t="s">
        <v>121</v>
      </c>
      <c r="E5" s="2" t="s">
        <v>118</v>
      </c>
      <c r="F5" s="2" t="s">
        <v>16</v>
      </c>
      <c r="G5" s="1">
        <v>1</v>
      </c>
      <c r="H5" s="1" t="s">
        <v>145</v>
      </c>
      <c r="I5" s="1"/>
    </row>
    <row r="6" spans="1:9" x14ac:dyDescent="0.25">
      <c r="A6" s="5" t="b">
        <v>1</v>
      </c>
      <c r="B6" s="2" t="s">
        <v>16</v>
      </c>
      <c r="C6" s="2" t="s">
        <v>120</v>
      </c>
      <c r="D6" s="2" t="s">
        <v>117</v>
      </c>
      <c r="E6" s="2" t="s">
        <v>118</v>
      </c>
      <c r="F6" s="2" t="s">
        <v>16</v>
      </c>
      <c r="G6" s="1">
        <v>2</v>
      </c>
      <c r="H6" s="1" t="s">
        <v>147</v>
      </c>
      <c r="I6" s="1"/>
    </row>
    <row r="7" spans="1:9" x14ac:dyDescent="0.25">
      <c r="A7" s="5" t="b">
        <v>1</v>
      </c>
      <c r="B7" s="2" t="s">
        <v>16</v>
      </c>
      <c r="C7" s="2" t="s">
        <v>142</v>
      </c>
      <c r="D7" s="2" t="s">
        <v>124</v>
      </c>
      <c r="E7" s="2" t="s">
        <v>17</v>
      </c>
      <c r="F7" s="2" t="s">
        <v>16</v>
      </c>
      <c r="G7" s="1">
        <v>29</v>
      </c>
      <c r="H7" s="1" t="s">
        <v>146</v>
      </c>
      <c r="I7" s="1"/>
    </row>
    <row r="8" spans="1:9" x14ac:dyDescent="0.25">
      <c r="A8" s="5" t="b">
        <v>1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18</v>
      </c>
      <c r="G8" s="1">
        <v>1</v>
      </c>
      <c r="H8" s="1" t="s">
        <v>148</v>
      </c>
      <c r="I8" s="1"/>
    </row>
    <row r="9" spans="1:9" ht="18" customHeight="1" x14ac:dyDescent="0.25">
      <c r="A9" s="5" t="b">
        <v>1</v>
      </c>
      <c r="B9" s="2" t="s">
        <v>22</v>
      </c>
      <c r="C9" s="3" t="s">
        <v>150</v>
      </c>
      <c r="D9" s="2" t="s">
        <v>23</v>
      </c>
      <c r="E9" s="2" t="s">
        <v>24</v>
      </c>
      <c r="F9" s="2" t="s">
        <v>22</v>
      </c>
      <c r="G9" s="1">
        <v>1</v>
      </c>
      <c r="H9" s="1" t="s">
        <v>149</v>
      </c>
      <c r="I9" s="1"/>
    </row>
    <row r="10" spans="1:9" x14ac:dyDescent="0.25">
      <c r="A10" s="5" t="b">
        <v>1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1">
        <v>1</v>
      </c>
      <c r="H10" s="1" t="s">
        <v>151</v>
      </c>
      <c r="I10" s="1"/>
    </row>
    <row r="11" spans="1:9" x14ac:dyDescent="0.25">
      <c r="A11" s="5" t="b">
        <v>0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  <c r="G11" s="1">
        <v>2</v>
      </c>
      <c r="H11" s="1"/>
      <c r="I11" s="7" t="s">
        <v>168</v>
      </c>
    </row>
    <row r="12" spans="1:9" x14ac:dyDescent="0.25">
      <c r="A12" s="5" t="b">
        <v>1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35</v>
      </c>
      <c r="G12" s="1">
        <v>1</v>
      </c>
      <c r="H12" s="1" t="s">
        <v>152</v>
      </c>
      <c r="I12" s="1"/>
    </row>
    <row r="13" spans="1:9" x14ac:dyDescent="0.25">
      <c r="A13" s="5" t="b">
        <v>1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1">
        <v>1</v>
      </c>
      <c r="H13" s="1" t="s">
        <v>154</v>
      </c>
      <c r="I13" s="1"/>
    </row>
    <row r="14" spans="1:9" x14ac:dyDescent="0.25">
      <c r="A14" s="5" t="b">
        <v>1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1">
        <v>1</v>
      </c>
      <c r="H14" s="1" t="s">
        <v>153</v>
      </c>
      <c r="I14" s="1"/>
    </row>
    <row r="15" spans="1:9" x14ac:dyDescent="0.25">
      <c r="A15" s="5" t="b">
        <v>1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1">
        <v>1</v>
      </c>
      <c r="H15" s="1" t="s">
        <v>155</v>
      </c>
      <c r="I15" s="1"/>
    </row>
    <row r="16" spans="1:9" x14ac:dyDescent="0.25">
      <c r="A16" s="5" t="b">
        <v>1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58</v>
      </c>
      <c r="G16" s="1">
        <v>1</v>
      </c>
      <c r="H16" s="1" t="s">
        <v>156</v>
      </c>
      <c r="I16" s="1"/>
    </row>
    <row r="17" spans="1:9" x14ac:dyDescent="0.25">
      <c r="A17" s="5" t="b">
        <v>1</v>
      </c>
      <c r="B17" s="2" t="s">
        <v>59</v>
      </c>
      <c r="C17" s="2" t="s">
        <v>126</v>
      </c>
      <c r="D17" s="2" t="s">
        <v>125</v>
      </c>
      <c r="E17" s="2" t="s">
        <v>60</v>
      </c>
      <c r="F17" s="2" t="s">
        <v>59</v>
      </c>
      <c r="G17" s="1">
        <v>1</v>
      </c>
      <c r="H17" s="1" t="s">
        <v>149</v>
      </c>
      <c r="I17" s="1"/>
    </row>
    <row r="18" spans="1:9" x14ac:dyDescent="0.25">
      <c r="A18" s="5" t="b">
        <v>1</v>
      </c>
      <c r="B18" s="2" t="s">
        <v>59</v>
      </c>
      <c r="C18" s="2" t="s">
        <v>127</v>
      </c>
      <c r="D18" s="2" t="s">
        <v>128</v>
      </c>
      <c r="E18" s="2" t="s">
        <v>60</v>
      </c>
      <c r="F18" s="2" t="s">
        <v>59</v>
      </c>
      <c r="G18" s="1">
        <v>2</v>
      </c>
      <c r="H18" s="1" t="s">
        <v>169</v>
      </c>
      <c r="I18" s="1"/>
    </row>
    <row r="19" spans="1:9" x14ac:dyDescent="0.25">
      <c r="A19" s="5" t="b">
        <v>1</v>
      </c>
      <c r="B19" s="2" t="s">
        <v>59</v>
      </c>
      <c r="C19" s="2" t="s">
        <v>129</v>
      </c>
      <c r="D19" s="2" t="s">
        <v>130</v>
      </c>
      <c r="E19" s="2" t="s">
        <v>60</v>
      </c>
      <c r="F19" s="2" t="s">
        <v>59</v>
      </c>
      <c r="G19" s="1">
        <v>3</v>
      </c>
      <c r="H19" s="1" t="s">
        <v>170</v>
      </c>
      <c r="I19" s="1"/>
    </row>
    <row r="20" spans="1:9" x14ac:dyDescent="0.25">
      <c r="A20" s="5" t="b">
        <v>1</v>
      </c>
      <c r="B20" s="2" t="s">
        <v>59</v>
      </c>
      <c r="C20" s="2" t="s">
        <v>135</v>
      </c>
      <c r="D20" s="2" t="s">
        <v>136</v>
      </c>
      <c r="E20" s="2" t="s">
        <v>60</v>
      </c>
      <c r="F20" s="2" t="s">
        <v>59</v>
      </c>
      <c r="G20" s="1">
        <v>1</v>
      </c>
      <c r="H20" s="1" t="s">
        <v>171</v>
      </c>
      <c r="I20" s="1"/>
    </row>
    <row r="21" spans="1:9" x14ac:dyDescent="0.25">
      <c r="A21" s="5" t="b">
        <v>1</v>
      </c>
      <c r="B21" s="2" t="s">
        <v>59</v>
      </c>
      <c r="C21" s="2" t="s">
        <v>132</v>
      </c>
      <c r="D21" s="2" t="s">
        <v>133</v>
      </c>
      <c r="E21" s="2" t="s">
        <v>60</v>
      </c>
      <c r="F21" s="2" t="s">
        <v>59</v>
      </c>
      <c r="G21" s="1">
        <v>1</v>
      </c>
      <c r="H21" s="1" t="s">
        <v>172</v>
      </c>
      <c r="I21" s="1"/>
    </row>
    <row r="22" spans="1:9" x14ac:dyDescent="0.25">
      <c r="A22" s="5" t="b">
        <v>1</v>
      </c>
      <c r="B22" s="2" t="s">
        <v>59</v>
      </c>
      <c r="C22" s="2" t="s">
        <v>131</v>
      </c>
      <c r="D22" s="2" t="s">
        <v>134</v>
      </c>
      <c r="E22" s="2" t="s">
        <v>60</v>
      </c>
      <c r="F22" s="2" t="s">
        <v>59</v>
      </c>
      <c r="G22" s="1">
        <v>4</v>
      </c>
      <c r="H22" s="1" t="s">
        <v>173</v>
      </c>
      <c r="I22" s="1"/>
    </row>
    <row r="23" spans="1:9" x14ac:dyDescent="0.25">
      <c r="A23" s="5" t="b">
        <v>1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1">
        <v>1</v>
      </c>
      <c r="H23" s="1" t="s">
        <v>163</v>
      </c>
      <c r="I23" s="1"/>
    </row>
    <row r="24" spans="1:9" x14ac:dyDescent="0.25">
      <c r="A24" s="5" t="b">
        <v>1</v>
      </c>
      <c r="B24" s="2" t="s">
        <v>66</v>
      </c>
      <c r="C24" s="2" t="s">
        <v>62</v>
      </c>
      <c r="D24" s="2" t="s">
        <v>67</v>
      </c>
      <c r="E24" s="2" t="s">
        <v>64</v>
      </c>
      <c r="F24" s="2" t="s">
        <v>65</v>
      </c>
      <c r="G24" s="1">
        <v>1</v>
      </c>
      <c r="H24" s="1" t="s">
        <v>164</v>
      </c>
      <c r="I24" s="1" t="s">
        <v>175</v>
      </c>
    </row>
    <row r="25" spans="1:9" x14ac:dyDescent="0.25">
      <c r="A25" s="5" t="b">
        <v>1</v>
      </c>
      <c r="B25" s="2" t="s">
        <v>68</v>
      </c>
      <c r="C25" s="2" t="s">
        <v>62</v>
      </c>
      <c r="D25" s="2" t="s">
        <v>69</v>
      </c>
      <c r="E25" s="2" t="s">
        <v>64</v>
      </c>
      <c r="F25" s="2" t="s">
        <v>65</v>
      </c>
      <c r="G25" s="1">
        <v>1</v>
      </c>
      <c r="H25" s="1" t="s">
        <v>164</v>
      </c>
      <c r="I25" s="1"/>
    </row>
    <row r="26" spans="1:9" x14ac:dyDescent="0.25">
      <c r="A26" s="5" t="b">
        <v>1</v>
      </c>
      <c r="B26" s="2" t="s">
        <v>70</v>
      </c>
      <c r="C26" s="2" t="s">
        <v>62</v>
      </c>
      <c r="D26" s="2" t="s">
        <v>71</v>
      </c>
      <c r="E26" s="2" t="s">
        <v>64</v>
      </c>
      <c r="F26" s="2" t="s">
        <v>65</v>
      </c>
      <c r="G26" s="1">
        <v>1</v>
      </c>
      <c r="H26" s="1" t="s">
        <v>164</v>
      </c>
      <c r="I26" s="1"/>
    </row>
    <row r="27" spans="1:9" x14ac:dyDescent="0.25">
      <c r="A27" s="5" t="b">
        <v>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1">
        <v>1</v>
      </c>
      <c r="H27" s="1" t="s">
        <v>157</v>
      </c>
      <c r="I27" s="1"/>
    </row>
    <row r="28" spans="1:9" x14ac:dyDescent="0.25">
      <c r="A28" s="5" t="b">
        <v>1</v>
      </c>
      <c r="B28" s="2" t="s">
        <v>77</v>
      </c>
      <c r="C28" s="2" t="s">
        <v>78</v>
      </c>
      <c r="D28" s="2" t="s">
        <v>79</v>
      </c>
      <c r="E28" s="2" t="s">
        <v>80</v>
      </c>
      <c r="F28" s="2" t="s">
        <v>77</v>
      </c>
      <c r="G28" s="1">
        <v>1</v>
      </c>
      <c r="H28" s="1" t="s">
        <v>158</v>
      </c>
      <c r="I28" s="1"/>
    </row>
    <row r="29" spans="1:9" x14ac:dyDescent="0.25">
      <c r="A29" s="5" t="b">
        <v>1</v>
      </c>
      <c r="B29" s="2" t="s">
        <v>81</v>
      </c>
      <c r="C29" s="2" t="s">
        <v>82</v>
      </c>
      <c r="D29" s="2" t="s">
        <v>83</v>
      </c>
      <c r="E29" s="2" t="s">
        <v>84</v>
      </c>
      <c r="F29" s="2" t="s">
        <v>81</v>
      </c>
      <c r="G29" s="1">
        <v>1</v>
      </c>
      <c r="H29" s="1" t="s">
        <v>159</v>
      </c>
      <c r="I29" s="1"/>
    </row>
    <row r="30" spans="1:9" x14ac:dyDescent="0.25">
      <c r="A30" s="5" t="b">
        <v>1</v>
      </c>
      <c r="B30" s="2" t="s">
        <v>85</v>
      </c>
      <c r="C30" s="2" t="s">
        <v>86</v>
      </c>
      <c r="D30" s="2" t="s">
        <v>87</v>
      </c>
      <c r="E30" s="2" t="s">
        <v>88</v>
      </c>
      <c r="F30" s="2" t="s">
        <v>85</v>
      </c>
      <c r="G30" s="1">
        <v>1</v>
      </c>
      <c r="H30" s="1" t="s">
        <v>160</v>
      </c>
      <c r="I30" s="1"/>
    </row>
    <row r="31" spans="1:9" x14ac:dyDescent="0.25">
      <c r="A31" s="5" t="b">
        <v>1</v>
      </c>
      <c r="B31" s="2" t="s">
        <v>89</v>
      </c>
      <c r="C31" s="2" t="s">
        <v>90</v>
      </c>
      <c r="D31" s="2" t="s">
        <v>91</v>
      </c>
      <c r="E31" s="2" t="s">
        <v>92</v>
      </c>
      <c r="F31" s="2" t="s">
        <v>89</v>
      </c>
      <c r="G31" s="1">
        <v>1</v>
      </c>
      <c r="H31" s="1" t="s">
        <v>161</v>
      </c>
      <c r="I31" s="1"/>
    </row>
    <row r="32" spans="1:9" x14ac:dyDescent="0.25">
      <c r="A32" s="5" t="b">
        <v>1</v>
      </c>
      <c r="B32" s="2" t="s">
        <v>93</v>
      </c>
      <c r="C32" s="2" t="s">
        <v>94</v>
      </c>
      <c r="D32" s="2" t="s">
        <v>95</v>
      </c>
      <c r="E32" s="2" t="s">
        <v>96</v>
      </c>
      <c r="F32" s="2" t="s">
        <v>93</v>
      </c>
      <c r="G32" s="1">
        <v>1</v>
      </c>
      <c r="H32" s="1" t="s">
        <v>162</v>
      </c>
      <c r="I32" s="1"/>
    </row>
    <row r="33" spans="1:9" x14ac:dyDescent="0.25">
      <c r="A33" s="5" t="b">
        <v>1</v>
      </c>
      <c r="B33" s="2" t="s">
        <v>97</v>
      </c>
      <c r="C33" s="2" t="s">
        <v>98</v>
      </c>
      <c r="D33" s="2" t="s">
        <v>99</v>
      </c>
      <c r="E33" s="2" t="s">
        <v>100</v>
      </c>
      <c r="F33" s="2" t="s">
        <v>101</v>
      </c>
      <c r="G33" s="1">
        <v>1</v>
      </c>
      <c r="H33" s="1" t="s">
        <v>176</v>
      </c>
      <c r="I33" s="1"/>
    </row>
    <row r="34" spans="1:9" x14ac:dyDescent="0.25">
      <c r="A34" s="5" t="b">
        <v>1</v>
      </c>
      <c r="B34" s="2" t="s">
        <v>102</v>
      </c>
      <c r="C34" s="2" t="s">
        <v>98</v>
      </c>
      <c r="D34" s="2" t="s">
        <v>103</v>
      </c>
      <c r="E34" s="2" t="s">
        <v>100</v>
      </c>
      <c r="F34" s="2" t="s">
        <v>101</v>
      </c>
      <c r="G34" s="1">
        <v>1</v>
      </c>
      <c r="H34" s="1" t="s">
        <v>164</v>
      </c>
      <c r="I34" s="1" t="s">
        <v>174</v>
      </c>
    </row>
    <row r="35" spans="1:9" x14ac:dyDescent="0.25">
      <c r="A35" s="5" t="b">
        <v>1</v>
      </c>
      <c r="B35" s="2" t="s">
        <v>104</v>
      </c>
      <c r="C35" s="2" t="s">
        <v>98</v>
      </c>
      <c r="D35" s="2" t="s">
        <v>105</v>
      </c>
      <c r="E35" s="2" t="s">
        <v>100</v>
      </c>
      <c r="F35" s="2" t="s">
        <v>101</v>
      </c>
      <c r="G35" s="1">
        <v>1</v>
      </c>
      <c r="H35" s="1" t="s">
        <v>164</v>
      </c>
      <c r="I35" s="1"/>
    </row>
    <row r="36" spans="1:9" x14ac:dyDescent="0.25">
      <c r="A36" s="5" t="b">
        <v>1</v>
      </c>
      <c r="B36" s="2" t="s">
        <v>106</v>
      </c>
      <c r="C36" s="2" t="s">
        <v>98</v>
      </c>
      <c r="D36" s="2" t="s">
        <v>107</v>
      </c>
      <c r="E36" s="2" t="s">
        <v>100</v>
      </c>
      <c r="F36" s="2" t="s">
        <v>101</v>
      </c>
      <c r="G36" s="1">
        <v>1</v>
      </c>
      <c r="H36" s="1" t="s">
        <v>164</v>
      </c>
      <c r="I36" s="1"/>
    </row>
    <row r="37" spans="1:9" x14ac:dyDescent="0.25">
      <c r="A37" s="5" t="b">
        <v>1</v>
      </c>
      <c r="B37" s="2" t="s">
        <v>108</v>
      </c>
      <c r="C37" s="2" t="s">
        <v>109</v>
      </c>
      <c r="D37" s="2" t="s">
        <v>110</v>
      </c>
      <c r="E37" s="2" t="s">
        <v>111</v>
      </c>
      <c r="F37" s="2" t="s">
        <v>108</v>
      </c>
      <c r="G37" s="1">
        <v>1</v>
      </c>
      <c r="H37" s="1" t="s">
        <v>165</v>
      </c>
      <c r="I37" s="1"/>
    </row>
    <row r="38" spans="1:9" x14ac:dyDescent="0.25">
      <c r="A38" s="5" t="b">
        <v>1</v>
      </c>
      <c r="B38" s="2" t="s">
        <v>112</v>
      </c>
      <c r="C38" s="2" t="s">
        <v>113</v>
      </c>
      <c r="D38" s="2" t="s">
        <v>114</v>
      </c>
      <c r="E38" s="2" t="s">
        <v>115</v>
      </c>
      <c r="F38" s="2" t="s">
        <v>116</v>
      </c>
      <c r="G38" s="1">
        <v>2</v>
      </c>
      <c r="H38" s="1" t="s">
        <v>166</v>
      </c>
      <c r="I38" s="1"/>
    </row>
    <row r="39" spans="1:9" x14ac:dyDescent="0.25">
      <c r="A39" s="6" t="s">
        <v>140</v>
      </c>
      <c r="G39">
        <f>SUM(G2:G38)</f>
        <v>79</v>
      </c>
    </row>
    <row r="40" spans="1:9" x14ac:dyDescent="0.25">
      <c r="A40" s="6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Distance-Sensor-Board-BOM</vt:lpstr>
      <vt:lpstr>'Distance-Sensor-Board-BOM'!Print_Titles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2025-11-23T19:57:20Z</dcterms:created>
  <dcterms:modified xsi:type="dcterms:W3CDTF">2025-11-24T01:03:04Z</dcterms:modified>
</cp:coreProperties>
</file>